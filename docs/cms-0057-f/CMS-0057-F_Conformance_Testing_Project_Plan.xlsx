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ev Plan — Gap Closure" sheetId="1" state="visible" r:id="rId3"/>
    <sheet name="Dev Plan Gantt" sheetId="2" state="visible" r:id="rId4"/>
    <sheet name="Project Plan" sheetId="3" state="visible" r:id="rId5"/>
    <sheet name="Certifications &amp; Recognition" sheetId="4" state="visible" r:id="rId6"/>
    <sheet name="Test Kit Reference" sheetId="5" state="visible" r:id="rId7"/>
    <sheet name="Gantt Chart" sheetId="6" state="visible" r:id="rId8"/>
    <sheet name="Time &amp; Cost Summary" sheetId="7" state="visible" r:id="rId9"/>
    <sheet name="AI Impact Analysi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<sst xmlns="http://schemas.openxmlformats.org/spreadsheetml/2006/main" count="1301" uniqueCount="489">
  <si>
    <t xml:space="preserve">Development Plan — Closing Gaps to Full Functional Compliance (Progress Update)</t>
  </si>
  <si>
    <t xml:space="preserve">Status as of August 7, 2026: 14 of 28 tasks complete and verified (code written, automated tests passing), 1 partially complete, 13 not started. Workstreams A (MPI identity resolution + Provider Access opt-out consent), B (DTR CDex conformance), and E (risk-flag remediation) are fully done. Remaining scope: C, D, F (partial), G, H. Certification path/timeline (other tabs) is unchanged by this update. Rates from the same standard rate card used throughout this workbook.</t>
  </si>
  <si>
    <t xml:space="preserve">Status Key</t>
  </si>
  <si>
    <t xml:space="preserve">Done</t>
  </si>
  <si>
    <t xml:space="preserve">Code written, automated tests passing, verified this session. (14 tasks)</t>
  </si>
  <si>
    <t xml:space="preserve">Partial</t>
  </si>
  <si>
    <t xml:space="preserve">Meaningful progress made; scope not fully closed. (1 task)</t>
  </si>
  <si>
    <t xml:space="preserve">Remaining</t>
  </si>
  <si>
    <t xml:space="preserve">Not yet started. (13 tasks)</t>
  </si>
  <si>
    <t xml:space="preserve">AI Feasibility Categories</t>
  </si>
  <si>
    <t xml:space="preserve">Full Automation</t>
  </si>
  <si>
    <t xml:space="preserve">Claude can build/test the feature end-to-end with only light human review.</t>
  </si>
  <si>
    <t xml:space="preserve">AI-Assisted</t>
  </si>
  <si>
    <t xml:space="preserve">Claude materially speeds up the work, but a human must still decide, validate against real data, or coordinate externally.</t>
  </si>
  <si>
    <t xml:space="preserve">Human-Required</t>
  </si>
  <si>
    <t xml:space="preserve">Inherently human: business/architecture decisions, external coordination.</t>
  </si>
  <si>
    <t xml:space="preserve">Task-Level Plan (Status + Remaining Cost)</t>
  </si>
  <si>
    <t xml:space="preserve">ID</t>
  </si>
  <si>
    <t xml:space="preserve">Workstream</t>
  </si>
  <si>
    <t xml:space="preserve">Task</t>
  </si>
  <si>
    <t xml:space="preserve">Owner Role</t>
  </si>
  <si>
    <t xml:space="preserve">AI Feasibility</t>
  </si>
  <si>
    <t xml:space="preserve">Status</t>
  </si>
  <si>
    <t xml:space="preserve">Remaining
Days (No AI)</t>
  </si>
  <si>
    <t xml:space="preserve">Remaining
Days (With AI)</t>
  </si>
  <si>
    <t xml:space="preserve">Remaining Cost
(No AI, $)</t>
  </si>
  <si>
    <t xml:space="preserve">Remaining Cost
(With AI, $)</t>
  </si>
  <si>
    <t xml:space="preserve">Remaining
Savings ($)</t>
  </si>
  <si>
    <t xml:space="preserve">A1</t>
  </si>
  <si>
    <t xml:space="preserve">A — Identity Resolution (MPI)</t>
  </si>
  <si>
    <t xml:space="preserve">Design cross-source identity-resolution (MPI) matching approach</t>
  </si>
  <si>
    <t xml:space="preserve">Tech Lead</t>
  </si>
  <si>
    <t xml:space="preserve">A2</t>
  </si>
  <si>
    <t xml:space="preserve">Build MPI matching engine (deterministic + probabilistic rules)</t>
  </si>
  <si>
    <t xml:space="preserve">Data/Integration Engineer</t>
  </si>
  <si>
    <t xml:space="preserve">A3</t>
  </si>
  <si>
    <t xml:space="preserve">Integrate MPI layer with existing $member-match + audit trail</t>
  </si>
  <si>
    <t xml:space="preserve">Backend/FHIR Engineer 1</t>
  </si>
  <si>
    <t xml:space="preserve">A4</t>
  </si>
  <si>
    <t xml:space="preserve">MPI automated test suite</t>
  </si>
  <si>
    <t xml:space="preserve">QA Engineer</t>
  </si>
  <si>
    <t xml:space="preserve">A5</t>
  </si>
  <si>
    <t xml:space="preserve">Decide MPI integration mode (HCA's existing MPI vs. standalone)</t>
  </si>
  <si>
    <t xml:space="preserve">Product/Clinical SME</t>
  </si>
  <si>
    <t xml:space="preserve">A6</t>
  </si>
  <si>
    <t xml:space="preserve">Build MPI integration-mode adapter layer</t>
  </si>
  <si>
    <t xml:space="preserve">A7</t>
  </si>
  <si>
    <t xml:space="preserve">A — Provider Access Opt-Out Consent</t>
  </si>
  <si>
    <t xml:space="preserve">Build consent capture UI for Provider Access opt-out</t>
  </si>
  <si>
    <t xml:space="preserve">Frontend Engineer</t>
  </si>
  <si>
    <t xml:space="preserve">A8</t>
  </si>
  <si>
    <t xml:space="preserve">Integrate consent gate into canReadMemberData() authorization check</t>
  </si>
  <si>
    <t xml:space="preserve">Backend/FHIR Engineer 2</t>
  </si>
  <si>
    <t xml:space="preserve">A9</t>
  </si>
  <si>
    <t xml:space="preserve">Build consent revocation flow</t>
  </si>
  <si>
    <t xml:space="preserve">A10</t>
  </si>
  <si>
    <t xml:space="preserve">Consent flow automated test suite</t>
  </si>
  <si>
    <t xml:space="preserve">B1</t>
  </si>
  <si>
    <t xml:space="preserve">B — DTR CDex Conformance</t>
  </si>
  <si>
    <t xml:space="preserve">Implement CDex-conformant DocumentReference construction (replace plain file upload)</t>
  </si>
  <si>
    <t xml:space="preserve">B2</t>
  </si>
  <si>
    <t xml:space="preserve">CDex DocumentReference conformance tests</t>
  </si>
  <si>
    <t xml:space="preserve">C1</t>
  </si>
  <si>
    <t xml:space="preserve">C — Provider Access Bulk Export Hardening</t>
  </si>
  <si>
    <t xml:space="preserve">Exercise SMART Backend Services bulk export end-to-end against staging</t>
  </si>
  <si>
    <t xml:space="preserve">C2</t>
  </si>
  <si>
    <t xml:space="preserve">Volume/load testing for 5-year look-back scoped exports</t>
  </si>
  <si>
    <t xml:space="preserve">C3</t>
  </si>
  <si>
    <t xml:space="preserve">Add monitoring/alerting hooks for bulk export jobs</t>
  </si>
  <si>
    <t xml:space="preserve">D1</t>
  </si>
  <si>
    <t xml:space="preserve">D — Policy Monitoring Mode</t>
  </si>
  <si>
    <t xml:space="preserve">Build policy-library change watcher</t>
  </si>
  <si>
    <t xml:space="preserve">D2</t>
  </si>
  <si>
    <t xml:space="preserve">Build proposed-update workflow (structured-resource diffs for human approval)</t>
  </si>
  <si>
    <t xml:space="preserve">D3</t>
  </si>
  <si>
    <t xml:space="preserve">Build human-approval UI for proposed policy updates</t>
  </si>
  <si>
    <t xml:space="preserve">D4</t>
  </si>
  <si>
    <t xml:space="preserve">Policy monitoring automated test suite</t>
  </si>
  <si>
    <t xml:space="preserve">E1</t>
  </si>
  <si>
    <t xml:space="preserve">E — Risk-Flag Remediation</t>
  </si>
  <si>
    <t xml:space="preserve">Fix "Propensity-to-deny" UI copy across 4 screens to "submission-readiness (completeness) score"</t>
  </si>
  <si>
    <t xml:space="preserve">E2</t>
  </si>
  <si>
    <t xml:space="preserve">Scope &amp; exclude unrelated client modules (uhg-orchestrate, md-smart-launch) from any HCA-facing build</t>
  </si>
  <si>
    <t xml:space="preserve">E3</t>
  </si>
  <si>
    <t xml:space="preserve">Restore missing Postman contract-test collection referenced by test:contract script</t>
  </si>
  <si>
    <t xml:space="preserve">F1</t>
  </si>
  <si>
    <t xml:space="preserve">F — Test Coverage Hardening</t>
  </si>
  <si>
    <t xml:space="preserve">Expand PA-Standalone-SmartApp test suite (was 1 test) to match main-app rigor</t>
  </si>
  <si>
    <t xml:space="preserve">G1</t>
  </si>
  <si>
    <t xml:space="preserve">G — Environment &amp; Cutover Readiness</t>
  </si>
  <si>
    <t xml:space="preserve">Live backbone staging integration — engineering</t>
  </si>
  <si>
    <t xml:space="preserve">G2</t>
  </si>
  <si>
    <t xml:space="preserve">Live backbone staging integration — data mapping</t>
  </si>
  <si>
    <t xml:space="preserve">G3</t>
  </si>
  <si>
    <t xml:space="preserve">End-to-end Golden Thread regression pass after all gap-closure changes</t>
  </si>
  <si>
    <t xml:space="preserve">H1</t>
  </si>
  <si>
    <t xml:space="preserve">H — Documentation &amp; Evidence Refresh</t>
  </si>
  <si>
    <t xml:space="preserve">Update conformance-plan.md and internal docs to reflect closed gaps</t>
  </si>
  <si>
    <t xml:space="preserve">H2</t>
  </si>
  <si>
    <t xml:space="preserve">Regenerate RFI evidence citations for a V5 pass</t>
  </si>
  <si>
    <t xml:space="preserve">What Shipped / What's Left, by Task</t>
  </si>
  <si>
    <t xml:space="preserve">Evidence</t>
  </si>
  <si>
    <t xml:space="preserve">Shipped: deterministic-then-probabilistic design implemented in lib/identity/matchEngine.ts.</t>
  </si>
  <si>
    <t xml:space="preserve">Shipped: lib/identity/matchEngine.ts — exact-ID/name+DOB deterministic rules + weighted (name/DOB/sex/zip/phone) probabilistic scoring. 13 tests passing.</t>
  </si>
  <si>
    <t xml:space="preserve">Shipped: lib/identity/resolveIdentity.ts + lib/server/identityResolution.ts — cross-source resolution, PHI-safe audit events. 8 tests passing.</t>
  </si>
  <si>
    <t xml:space="preserve">Shipped: 21 automated tests across matchEngine.test.ts, resolveIdentity.test.ts, resolveIdentityWithAudit.test.ts.</t>
  </si>
  <si>
    <t xml:space="preserve">Not yet decided — awaiting joint decision with HCA. Blocks final wiring of the mode-specific adapter, not the adapter interface itself.</t>
  </si>
  <si>
    <t xml:space="preserve">Shipped: lib/identity/identitySource.ts — adapter interface + mock implementation, swappable for a real production source once A5 is decided.</t>
  </si>
  <si>
    <t xml:space="preserve">Shipped: consent capture + amber warning block in provider-access page.</t>
  </si>
  <si>
    <t xml:space="preserve">Shipped: providerAccessOptedOut check wired into src/lib/authz/guard.ts (break-glass still overrides, as required).</t>
  </si>
  <si>
    <t xml:space="preserve">Shipped: GET/POST /api/consent/provider-access + ProviderAccessConsentStore.</t>
  </si>
  <si>
    <t xml:space="preserve">Shipped: 8 tests (3 in guard.test.ts + 5 in providerAccessOptOut.test.ts).</t>
  </si>
  <si>
    <t xml:space="preserve">Shipped: PA-Standalone-SmartApp/src/lib/dtr/cdexDocumentReference.ts, wired into the DTR upload flow. This clears the one hard blocker to DTR conformance testing.</t>
  </si>
  <si>
    <t xml:space="preserve">Shipped: 6 tests in cdexDocumentReference.test.ts.</t>
  </si>
  <si>
    <t xml:space="preserve">Not started.</t>
  </si>
  <si>
    <t xml:space="preserve">Shipped: copy corrected in MedicalNecessityPanel, EvidenceTimeline, financial-clearance page (3 spots), work-queue page.</t>
  </si>
  <si>
    <t xml:space="preserve">Shipped: src/middleware.ts scope-gates non-CMS-0057-F routes behind DEPLOYMENT_SCOPE env var. 4 tests passing.</t>
  </si>
  <si>
    <t xml:space="preserve">Shipped: tools/contract/cms0057f.postman_collection.json (8 requests) + local environment file; newman added to package.json.</t>
  </si>
  <si>
    <t xml:space="preserve">Partial: suite grew 1 -&gt; 7 tests (CDex module fully covered). Remaining: OrderView, CrdChecklistView, ReviewSubmitView, PaPortalView, WorklistView, CaseDetailView still need coverage.</t>
  </si>
  <si>
    <t xml:space="preserve">Not started. (Baseline already re-verified once this session: 146 -&gt; 185 tests passing, zero regressions, as Workstreams A/B/E landed.)</t>
  </si>
  <si>
    <t xml:space="preserve">Remaining Dev Plan Cost (Go-Forward, as of Aug 7, 2026)</t>
  </si>
  <si>
    <t xml:space="preserve">Without AI</t>
  </si>
  <si>
    <t xml:space="preserve">With AI</t>
  </si>
  <si>
    <t xml:space="preserve">Savings</t>
  </si>
  <si>
    <t xml:space="preserve">Savings %</t>
  </si>
  <si>
    <t xml:space="preserve">Remaining Development Labor</t>
  </si>
  <si>
    <t xml:space="preserve">Incremental Infrastructure / Third-Party Cost</t>
  </si>
  <si>
    <t xml:space="preserve">—</t>
  </si>
  <si>
    <t xml:space="preserve">Assumes existing staging/reference environment already budgeted in Prior_Auth_Cost_Model V2.0.xlsx; no incremental hosting cost assumed.</t>
  </si>
  <si>
    <t xml:space="preserve">REMAINING DEV PLAN TOTAL</t>
  </si>
  <si>
    <t xml:space="preserve">Delivered to Date (Original Full-Scope Total Minus Remaining)</t>
  </si>
  <si>
    <t xml:space="preserve">Without AI basis</t>
  </si>
  <si>
    <t xml:space="preserve">With AI basis</t>
  </si>
  <si>
    <t xml:space="preserve">Value Delivered This Session</t>
  </si>
  <si>
    <t xml:space="preserve">Baseline: original full-scope Dev Plan totaled $111,000 (No AI) / $40,275 (With AI) across all 28 tasks. This session closed Workstreams A, B, and E in full (14 tasks) plus partial progress on F1, using AI-assisted development end-to-end.</t>
  </si>
  <si>
    <t xml:space="preserve">Task Count by Status (of 28 tasks)</t>
  </si>
  <si>
    <t xml:space="preserve">Combined Total to Reach Certification-Ready + Certified (Remaining Dev + Standards-Conformance Testing tabs)</t>
  </si>
  <si>
    <t xml:space="preserve">Combined Remaining Total</t>
  </si>
  <si>
    <t xml:space="preserve">Path to certification is unchanged (see Project Plan / Gantt Chart / Time &amp; Cost Summary / AI Impact Analysis tabs) — those figures are not modified by this update. One planning note: Workstream B (the former hard blocker for clean Da Vinci DTR conformance testing) is now complete, so DTR conformance testing can proceed on its originally scheduled track with no code dependency outstanding. Remaining Dev Plan elapsed schedule: ~7 weeks — see Dev Plan Gantt tab.</t>
  </si>
  <si>
    <t xml:space="preserve">All person-day estimates are illustrative planning-level judgments, not a delivery commitment. This tab covers development labor only — testing/certification fees are tracked separately in the Time &amp; Cost Summary and AI Impact Analysis tabs. "Done" status reflects code written and automated tests passing in this engagement's working repository; it is not itself a certification or a production deployment.</t>
  </si>
  <si>
    <t xml:space="preserve">Development Plan — Gantt Chart (Progress Update: 7-Week Remaining Schedule)</t>
  </si>
  <si>
    <t xml:space="preserve">Completed tasks (green "DONE" bar) are shown for continuity but no longer consume schedule. Week numbers for remaining tasks are relative to a fresh kickoff of the go-forward plan (kickoff date TBD), not the original 11-week baseline. Bars colored by workstream; AI Feasibility: Green = Claude can execute end-to-end · Yellow = AI-assisted, human decides/validates · Red = inherently human.</t>
  </si>
  <si>
    <t xml:space="preserve">Owner</t>
  </si>
  <si>
    <t xml:space="preserve">Dur (wks)</t>
  </si>
  <si>
    <t xml:space="preserve">W1</t>
  </si>
  <si>
    <t xml:space="preserve">W2</t>
  </si>
  <si>
    <t xml:space="preserve">W3</t>
  </si>
  <si>
    <t xml:space="preserve">W4</t>
  </si>
  <si>
    <t xml:space="preserve">W5</t>
  </si>
  <si>
    <t xml:space="preserve">W6</t>
  </si>
  <si>
    <t xml:space="preserve">W7</t>
  </si>
  <si>
    <t xml:space="preserve">✓ DONE</t>
  </si>
  <si>
    <t xml:space="preserve">Workstream Legend:</t>
  </si>
  <si>
    <t xml:space="preserve">AI Feasibility Legend:</t>
  </si>
  <si>
    <t xml:space="preserve">Status Legend:</t>
  </si>
  <si>
    <t xml:space="preserve">Standards-Conformance Testing — Project Plan</t>
  </si>
  <si>
    <t xml:space="preserve">CMS-0057-F prior-authorization platform — closing the Section 5.6 Testing Approach gap identified in the RFI code audit</t>
  </si>
  <si>
    <t xml:space="preserve">Phase</t>
  </si>
  <si>
    <t xml:space="preserve">Task ID</t>
  </si>
  <si>
    <t xml:space="preserve">Duration</t>
  </si>
  <si>
    <t xml:space="preserve">Dependencies</t>
  </si>
  <si>
    <t xml:space="preserve">Deliverable / Exit Criteria</t>
  </si>
  <si>
    <t xml:space="preserve">Phase 0 — Governance &amp; Scoping (Week 1–2)</t>
  </si>
  <si>
    <t xml:space="preserve">Phase 0</t>
  </si>
  <si>
    <t xml:space="preserve">0.1</t>
  </si>
  <si>
    <t xml:space="preserve">Confirm target IG versions to test against (CRD 2.2.1, DTR 2.0.1, PAS 2.0.1, US Core 6.1.0/7.0.0, CARIN BB 2.0.0/2.1.0, SMART App Launch STU2.2) and lock scope</t>
  </si>
  <si>
    <t xml:space="preserve">Solution Architect</t>
  </si>
  <si>
    <t xml:space="preserve">3 days</t>
  </si>
  <si>
    <t xml:space="preserve">Signed-off conformance scope memo</t>
  </si>
  <si>
    <t xml:space="preserve">Not started</t>
  </si>
  <si>
    <t xml:space="preserve">0.2</t>
  </si>
  <si>
    <t xml:space="preserve">Stand up a dedicated conformance test environment pointed at the live/staging backbone (not the mock reference environment) using the existing config-based cutover</t>
  </si>
  <si>
    <t xml:space="preserve">Platform Engineering</t>
  </si>
  <si>
    <t xml:space="preserve">1 week</t>
  </si>
  <si>
    <t xml:space="preserve">isBackboneConfigured() = true in a stable staging tenancy</t>
  </si>
  <si>
    <t xml:space="preserve">0.3</t>
  </si>
  <si>
    <t xml:space="preserve">Identify and engage one real or sandbox trading-partner payer/clearinghouse for X12 278/275 round-trip testing</t>
  </si>
  <si>
    <t xml:space="preserve">Delivery Lead</t>
  </si>
  <si>
    <t xml:space="preserve">1–2 weeks</t>
  </si>
  <si>
    <t xml:space="preserve">Signed trading-partner test agreement</t>
  </si>
  <si>
    <t xml:space="preserve">0.4</t>
  </si>
  <si>
    <t xml:space="preserve">Assign an internal conformance owner per suite (CRD/DTR/PAS, US Core, CARIN BB, SMART, X12) accountable for pass/fail and remediation</t>
  </si>
  <si>
    <t xml:space="preserve">2 days</t>
  </si>
  <si>
    <t xml:space="preserve">RACI published</t>
  </si>
  <si>
    <t xml:space="preserve">Phase 1 — FHIR Conformance: Foundational IGs (Week 2–5, parallel)</t>
  </si>
  <si>
    <t xml:space="preserve">Phase 1</t>
  </si>
  <si>
    <t xml:space="preserve">1.1</t>
  </si>
  <si>
    <t xml:space="preserve">Run Inferno US Core Test Kit (server suite) against staging FHIR endpoints for Coverage, Condition, Claim/ClaimResponse, QuestionnaireResponse, Consent, Provenance</t>
  </si>
  <si>
    <t xml:space="preserve">Inferno results export — 0 required-test failures</t>
  </si>
  <si>
    <t xml:space="preserve">1.2</t>
  </si>
  <si>
    <t xml:space="preserve">Run Inferno SMART App Launch Test Kit against the DTR SMART app's authorization flow</t>
  </si>
  <si>
    <t xml:space="preserve">Inferno results export — passing launch + token flows</t>
  </si>
  <si>
    <t xml:space="preserve">1.3</t>
  </si>
  <si>
    <t xml:space="preserve">Run Inferno CARIN IG for Blue Button Test Kit against the Patient Access API server</t>
  </si>
  <si>
    <t xml:space="preserve">0.2, 1.1</t>
  </si>
  <si>
    <t xml:space="preserve">Inferno results export — passing server suite</t>
  </si>
  <si>
    <t xml:space="preserve">1.4</t>
  </si>
  <si>
    <t xml:space="preserve">Remediate and re-run any failing US Core / SMART / CARIN required tests</t>
  </si>
  <si>
    <t xml:space="preserve">1.1–1.3</t>
  </si>
  <si>
    <t xml:space="preserve">Clean re-test with 0 required-test failures</t>
  </si>
  <si>
    <t xml:space="preserve">Phase 2 — FHIR Conformance: Da Vinci Prior-Auth IGs (Week 4–8, parallel with Phase 1 tail)</t>
  </si>
  <si>
    <t xml:space="preserve">Phase 2</t>
  </si>
  <si>
    <t xml:space="preserve">2.1</t>
  </si>
  <si>
    <t xml:space="preserve">Run Inferno Da Vinci CRD Test Kit against the CDS Hooks order-select/order-sign services</t>
  </si>
  <si>
    <t xml:space="preserve">Inferno results export — passing CRD client/server suite</t>
  </si>
  <si>
    <t xml:space="preserve">2.2</t>
  </si>
  <si>
    <t xml:space="preserve">Run Inferno Da Vinci DTR Test Kit against the DTR SMART app + Questionnaire Package retrieval</t>
  </si>
  <si>
    <t xml:space="preserve">1.2, 0.2</t>
  </si>
  <si>
    <t xml:space="preserve">Inferno results export — passing DTR suite</t>
  </si>
  <si>
    <t xml:space="preserve">2.3</t>
  </si>
  <si>
    <t xml:space="preserve">Run Inferno Da Vinci PAS Test Kit against PASBundle submission and status-update handling (note: ONC's PAS kit is published in draft/preliminary status — expect to log implementer feedback to HL7/ONC as part of this run)</t>
  </si>
  <si>
    <t xml:space="preserve">2 weeks</t>
  </si>
  <si>
    <t xml:space="preserve">Inferno results export — passing PAS suite; feedback filed with ONC if gaps found in the kit itself</t>
  </si>
  <si>
    <t xml:space="preserve">2.4</t>
  </si>
  <si>
    <t xml:space="preserve">Remediate and re-run any failing CRD / DTR / PAS required tests</t>
  </si>
  <si>
    <t xml:space="preserve">2–3 weeks</t>
  </si>
  <si>
    <t xml:space="preserve">2.1–2.3</t>
  </si>
  <si>
    <t xml:space="preserve">2.5</t>
  </si>
  <si>
    <t xml:space="preserve">(Optional, recommended) Register for an upcoming HL7 Da Vinci Connectathon track (CRD/DTR/PAS) to test interoperability against independent implementers, not just Inferno's simulated client/server</t>
  </si>
  <si>
    <t xml:space="preserve">1 connectathon cycle (~1 week event + prep)</t>
  </si>
  <si>
    <t xml:space="preserve">Published connectathon participation / track results</t>
  </si>
  <si>
    <t xml:space="preserve">Phase 3 — X12 278/275 Conformance (Week 3–8, parallel)</t>
  </si>
  <si>
    <t xml:space="preserve">Phase 3</t>
  </si>
  <si>
    <t xml:space="preserve">3.1</t>
  </si>
  <si>
    <t xml:space="preserve">Execute X12 278 (request/response) transaction testing against the engaged trading partner per Phase 0.3, validating against the TR3 companion guide</t>
  </si>
  <si>
    <t xml:space="preserve">Integration Engineering</t>
  </si>
  <si>
    <t xml:space="preserve">0.3, 0.2</t>
  </si>
  <si>
    <t xml:space="preserve">Clean 278 request/response pairs, no syntax or balancing errors</t>
  </si>
  <si>
    <t xml:space="preserve">3.2</t>
  </si>
  <si>
    <t xml:space="preserve">Execute X12 275 (attachment) transaction testing for DTR-equivalent documentation exchange over the EDI channel</t>
  </si>
  <si>
    <t xml:space="preserve">Clean 275 exchange validated by trading partner</t>
  </si>
  <si>
    <t xml:space="preserve">3.3</t>
  </si>
  <si>
    <t xml:space="preserve">Validate conformance to CAQH CORE Prior Authorization &amp; Referrals (278) Infrastructure Rule (vPA.3.0) and Data Content Rule (vPA.1.0)</t>
  </si>
  <si>
    <t xml:space="preserve">3.1, 3.2</t>
  </si>
  <si>
    <t xml:space="preserve">Internal conformance checklist passed against both CORE rules</t>
  </si>
  <si>
    <t xml:space="preserve">3.4</t>
  </si>
  <si>
    <t xml:space="preserve">Remediate and re-test any X12/CORE gaps</t>
  </si>
  <si>
    <t xml:space="preserve">Clean re-test</t>
  </si>
  <si>
    <t xml:space="preserve">Phase 4 — Formal Certification Pursuit (Week 8–16, gated on Phases 1–3 passing)</t>
  </si>
  <si>
    <t xml:space="preserve">Phase 4</t>
  </si>
  <si>
    <t xml:space="preserve">4.1</t>
  </si>
  <si>
    <t xml:space="preserve">Legal/product review: determine which side of each Da Vinci transaction (provider-facing vs. payer-facing) the platform should certify under the new ONC §170.315(g)(31)/(g)(32)/(g)(33) Provider Prior Authorization API criteria, given the platform's role varies by provision</t>
  </si>
  <si>
    <t xml:space="preserve">Product + Legal</t>
  </si>
  <si>
    <t xml:space="preserve">Written scoping decision on which components pursue ONC certification</t>
  </si>
  <si>
    <t xml:space="preserve">4.2</t>
  </si>
  <si>
    <t xml:space="preserve">Engage an ONC-Authorized Certification Body (e.g., Drummond Group, SLI Compliance, or CCHIT/ICSA) for formal §170.315(g)(31)/(g)(32)/(g)(33) certification testing</t>
  </si>
  <si>
    <t xml:space="preserve">2–4 weeks (ACB-dependent)</t>
  </si>
  <si>
    <t xml:space="preserve">Signed ONC-ACB testing engagement</t>
  </si>
  <si>
    <t xml:space="preserve">4.3</t>
  </si>
  <si>
    <t xml:space="preserve">Complete ONC-ACB witnessed testing and remediation cycles</t>
  </si>
  <si>
    <t xml:space="preserve">4–6 weeks</t>
  </si>
  <si>
    <t xml:space="preserve">ONC-ACB certification decision issued</t>
  </si>
  <si>
    <t xml:space="preserve">4.4</t>
  </si>
  <si>
    <t xml:space="preserve">Confirm listing on the federal Certified Health IT Product List (CHPL)</t>
  </si>
  <si>
    <t xml:space="preserve">1 week (post-decision)</t>
  </si>
  <si>
    <t xml:space="preserve">Public CHPL listing — verifiable by any evaluator, including HCA</t>
  </si>
  <si>
    <t xml:space="preserve">4.5</t>
  </si>
  <si>
    <t xml:space="preserve">Pursue CAQH CORE Certification for the Prior Authorization &amp; Referrals (278) Operating Rules through an approved CORE certification testing vendor</t>
  </si>
  <si>
    <t xml:space="preserve">CAQH CORE Certification Seal issued</t>
  </si>
  <si>
    <t xml:space="preserve">4.6</t>
  </si>
  <si>
    <t xml:space="preserve">Sign the CARIN Alliance Code of Conduct for the Patient Access API and register on MyHealthApplication.com</t>
  </si>
  <si>
    <t xml:space="preserve">Public listing under the CARIN Code of Conduct</t>
  </si>
  <si>
    <t xml:space="preserve">Phase 5 — Publish &amp; Report (Week 16–17)</t>
  </si>
  <si>
    <t xml:space="preserve">Phase 5</t>
  </si>
  <si>
    <t xml:space="preserve">5.1</t>
  </si>
  <si>
    <t xml:space="preserve">Compile a public-facing conformance summary (Inferno pass results, connectathon participation, CHPL listing, CAQH CORE seal, CARIN attestation) for use in proposals and demos</t>
  </si>
  <si>
    <t xml:space="preserve">4.1–4.6</t>
  </si>
  <si>
    <t xml:space="preserve">Conformance &amp; Certification one-pager</t>
  </si>
  <si>
    <t xml:space="preserve">5.2</t>
  </si>
  <si>
    <t xml:space="preserve">Update the RFI/proposal Testing Approach section and internal conformance-plan.md to reflect completed (not planned) conformance status</t>
  </si>
  <si>
    <t xml:space="preserve">Updated response language, code-evidence-accurate</t>
  </si>
  <si>
    <t xml:space="preserve">5.3</t>
  </si>
  <si>
    <t xml:space="preserve">Establish a recurring re-test cadence (e.g., on each IG version bump or annually) to keep conformance evidence current</t>
  </si>
  <si>
    <t xml:space="preserve">Documented re-test schedule</t>
  </si>
  <si>
    <t xml:space="preserve">Certification &amp; Recognition Options — What Actually Exists Today (Aug 2026)</t>
  </si>
  <si>
    <t xml:space="preserve">Option</t>
  </si>
  <si>
    <t xml:space="preserve">What it proves</t>
  </si>
  <si>
    <t xml:space="preserve">Status / availability</t>
  </si>
  <si>
    <t xml:space="preserve">Path to obtain</t>
  </si>
  <si>
    <t xml:space="preserve">Est. cost/effort</t>
  </si>
  <si>
    <t xml:space="preserve">Recommendation</t>
  </si>
  <si>
    <t xml:space="preserve">ONC Health IT Certification — §170.315(g)(31)/(g)(32)/(g)(33) Provider Prior Authorization API (CRD/DTR/PAS)</t>
  </si>
  <si>
    <t xml:space="preserve">Federal, government-run certification that the platform's CRD/DTR/PAS implementation conforms to the Da Vinci IGs — the same standard CMS-0057-F cites. Results in a public listing anyone (including HCA) can verify.</t>
  </si>
  <si>
    <t xml:space="preserve">REAL and current. Finalized in the HTI-4 Final Rule, effective Oct 1, 2025. Very new — few vendors have pursued it yet.</t>
  </si>
  <si>
    <t xml:space="preserve">Engage an ONC-Authorized Certification Body (ONC-ACB, e.g., Drummond Group, SLI Compliance) for witnessed testing; passing results in listing on the federal Certified Health IT Product List (CHPL).</t>
  </si>
  <si>
    <t xml:space="preserve">Moderate — typically weeks to a few months and a mid-five-figure testing fee, ACB-dependent</t>
  </si>
  <si>
    <t xml:space="preserve">PURSUE — strongest, most credible, government-issued proof available; being early is a differentiator</t>
  </si>
  <si>
    <t xml:space="preserve">Payer-side FHIR API certification (was proposed under HTI-2)</t>
  </si>
  <si>
    <t xml:space="preserve">Would have been the direct federal certification for a payer/state-agency-facing PA platform's FHIR APIs.</t>
  </si>
  <si>
    <t xml:space="preserve">DOES NOT EXIST. ASTP/ONC withdrew the unfinalized HTI-2 payer-API certification proposals in Dec 2025, pivoting to a deregulatory HTI-5 proposal instead.</t>
  </si>
  <si>
    <t xml:space="preserve">Not currently obtainable — no application path exists. Monitor HTI-5 rulemaking in case a voluntary payer pathway re-emerges.</t>
  </si>
  <si>
    <t xml:space="preserve">N/A</t>
  </si>
  <si>
    <t xml:space="preserve">DO NOT CLAIM — be explicit in the RFI that no such certification currently exists; this is a fact about the regulatory landscape, not a platform gap</t>
  </si>
  <si>
    <t xml:space="preserve">Inferno conformance test results (self-service)</t>
  </si>
  <si>
    <t xml:space="preserve">Verifiable, third-party-tool pass/fail evidence against US Core, SMART App Launch, CARIN Blue Button, Da Vinci CRD/DTR/PAS.</t>
  </si>
  <si>
    <t xml:space="preserve">REAL, free, and operational today at inferno.healthit.gov — the same tool ONC itself uses for certification testing.</t>
  </si>
  <si>
    <t xml:space="preserve">Run directly — no application or fee. Publish the results export.</t>
  </si>
  <si>
    <t xml:space="preserve">Low — engineering time only (see Project Plan, Phases 1–2)</t>
  </si>
  <si>
    <t xml:space="preserve">PURSUE FIRST — fastest, cheapest, most direct way to close the current Testing Approach gap</t>
  </si>
  <si>
    <t xml:space="preserve">CAQH CORE Certification — Prior Authorization &amp; Referrals (278) Operating Rules</t>
  </si>
  <si>
    <t xml:space="preserve">Industry-standard certification for the X12 278/275 legacy EDI channel; real trading partners (e.g., Availity) hold this seal.</t>
  </si>
  <si>
    <t xml:space="preserve">REAL and current (Infrastructure Rule vPA.3.0, Data Content Rule vPA.1.0).</t>
  </si>
  <si>
    <t xml:space="preserve">Certification testing through a CAQH CORE-approved testing vendor.</t>
  </si>
  <si>
    <t xml:space="preserve">Moderate — several weeks and a testing-vendor fee</t>
  </si>
  <si>
    <t xml:space="preserve">PURSUE — closes the X12 278/275 half of the conformance scope with a recognized industry seal</t>
  </si>
  <si>
    <t xml:space="preserve">HL7 Da Vinci Connectathon participation (CRD/DTR/PAS tracks)</t>
  </si>
  <si>
    <t xml:space="preserve">Real-world interoperability testing against independent implementers, not a simulated test client.</t>
  </si>
  <si>
    <t xml:space="preserve">REAL — ongoing HL7 FHIR Connectathons run these tracks regularly.</t>
  </si>
  <si>
    <t xml:space="preserve">Register for an upcoming connectathon; HL7 tracks and can publish participation/results.</t>
  </si>
  <si>
    <t xml:space="preserve">Low — mainly staff time for a ~1-week event</t>
  </si>
  <si>
    <t xml:space="preserve">RECOMMENDED complement — strong signal to standards-literate evaluators, cheap to obtain</t>
  </si>
  <si>
    <t xml:space="preserve">CARIN Alliance Code of Conduct attestation</t>
  </si>
  <si>
    <t xml:space="preserve">Public, voluntary attestation to consumer-data-sharing best practices for the Patient Access API.</t>
  </si>
  <si>
    <t xml:space="preserve">REAL — administered by the CARIN Alliance; attestors listed at MyHealthApplication.com.</t>
  </si>
  <si>
    <t xml:space="preserve">Sign the Code of Conduct and register the application.</t>
  </si>
  <si>
    <t xml:space="preserve">Low</t>
  </si>
  <si>
    <t xml:space="preserve">RECOMMENDED — low-cost, relevant specifically to Patient Access</t>
  </si>
  <si>
    <t xml:space="preserve">SOC 2 Type II</t>
  </si>
  <si>
    <t xml:space="preserve">Independent audit of security controls (not FHIR/interoperability conformance).</t>
  </si>
  <si>
    <t xml:space="preserve">Already referenced in the RFI as an open item — [IBM to insert current SOC 2 report date].</t>
  </si>
  <si>
    <t xml:space="preserve">Standard annual audit cycle via IBM's existing compliance program.</t>
  </si>
  <si>
    <t xml:space="preserve">N/A — existing program</t>
  </si>
  <si>
    <t xml:space="preserve">ALREADY IN PLAN — close the placeholder with the current report date</t>
  </si>
  <si>
    <t xml:space="preserve">HITRUST CSF certification</t>
  </si>
  <si>
    <t xml:space="preserve">Higher-bar security/privacy certification, common in healthcare.</t>
  </si>
  <si>
    <t xml:space="preserve">Already referenced in the RFI as available if HCA requires it.</t>
  </si>
  <si>
    <t xml:space="preserve">Optional add-on assessment.</t>
  </si>
  <si>
    <t xml:space="preserve">Higher — significant assessment effort</t>
  </si>
  <si>
    <t xml:space="preserve">OPTIONAL — offer only if HCA specifically requires it</t>
  </si>
  <si>
    <t xml:space="preserve">Inferno Test Kit Reference (inferno.healthit.gov)</t>
  </si>
  <si>
    <t xml:space="preserve">Test Kit</t>
  </si>
  <si>
    <t xml:space="preserve">IG Version(s) Supported</t>
  </si>
  <si>
    <t xml:space="preserve">What It Tests</t>
  </si>
  <si>
    <t xml:space="preserve">Kit Status</t>
  </si>
  <si>
    <t xml:space="preserve">Link</t>
  </si>
  <si>
    <t xml:space="preserve">US Core</t>
  </si>
  <si>
    <t xml:space="preserve">v3.1.1, v4.0.0, v5.0.1, v6.1.0, v7.0.0, v8.0.0</t>
  </si>
  <si>
    <t xml:space="preserve">Server/client conformance for Coverage, Condition, Claim/ClaimResponse, and other US Core profiles underlying Patient/Provider Access</t>
  </si>
  <si>
    <t xml:space="preserve">Stable</t>
  </si>
  <si>
    <t xml:space="preserve">https://inferno.healthit.gov/test-kits/us-core/</t>
  </si>
  <si>
    <t xml:space="preserve">SMART App Launch</t>
  </si>
  <si>
    <t xml:space="preserve">STU1, STU2, STU2.2</t>
  </si>
  <si>
    <t xml:space="preserve">Authorization-server and client conformance for the DTR SMART app launch flow</t>
  </si>
  <si>
    <t xml:space="preserve">https://inferno.healthit.gov/test-kits/smart-app-launch/</t>
  </si>
  <si>
    <t xml:space="preserve">CARIN IG for Blue Button</t>
  </si>
  <si>
    <t xml:space="preserve">v2.0.0 / v2.1.0</t>
  </si>
  <si>
    <t xml:space="preserve">Server/client conformance for the Patient Access consumer-directed data API</t>
  </si>
  <si>
    <t xml:space="preserve">https://inferno.healthit.gov/test-kits/carin-for-blue-button/</t>
  </si>
  <si>
    <t xml:space="preserve">Da Vinci CRD</t>
  </si>
  <si>
    <t xml:space="preserve">STU 2.0.1, STU 2.2.1</t>
  </si>
  <si>
    <t xml:space="preserve">Coverage Requirements Discovery client/server conformance (CDS Hooks order-select/sign)</t>
  </si>
  <si>
    <t xml:space="preserve">Stable, actively updated (2026 US Quality Core IG update noted)</t>
  </si>
  <si>
    <t xml:space="preserve">https://inferno.healthit.gov/test-kits/davinci-crd/</t>
  </si>
  <si>
    <t xml:space="preserve">Da Vinci DTR</t>
  </si>
  <si>
    <t xml:space="preserve">v2.0.1</t>
  </si>
  <si>
    <t xml:space="preserve">Documentation Templates &amp; Rules SMART app client and payer server conformance</t>
  </si>
  <si>
    <t xml:space="preserve">https://inferno.healthit.gov/test-kits/davinci-dtr/</t>
  </si>
  <si>
    <t xml:space="preserve">Da Vinci PAS</t>
  </si>
  <si>
    <t xml:space="preserve">Prior Authorization Support client/server conformance (PASBundle submission)</t>
  </si>
  <si>
    <t xml:space="preserve">Draft / preliminary — ONC invites implementer feedback</t>
  </si>
  <si>
    <t xml:space="preserve">https://inferno.healthit.gov/test-kits/davinci-pas/</t>
  </si>
  <si>
    <t xml:space="preserve">ONC Certification (g)(10) Standardized API</t>
  </si>
  <si>
    <t xml:space="preserve">Per ONC Certification Program</t>
  </si>
  <si>
    <t xml:space="preserve">Combined suite used in formal ONC certification testing</t>
  </si>
  <si>
    <t xml:space="preserve">https://inferno.healthit.gov/test-kits/onc-certification-g10/</t>
  </si>
  <si>
    <t xml:space="preserve">Sources: inferno.healthit.gov/test-kits/ ; healthit.gov HTI-4 Final Rule fact sheets (Oct 2025) ; Federal Register HTI-2 Withdrawal notice (Dec 29, 2025) ; caqh.org/core ; carinalliance.com/code-of-conduct. Verified via web search, Aug 2026.</t>
  </si>
  <si>
    <t xml:space="preserve">Standards-Conformance Testing — Gantt Chart (18-Week Illustrative Schedule)</t>
  </si>
  <si>
    <t xml:space="preserve">Week numbers are relative to project kickoff (kickoff date TBD). Bars are colored by phase. AI Feasibility: Green = Claude can execute end-to-end · Yellow = AI-assisted, human decides/reviews · Red = inherently human (relationship, signature, witnessed session). See AI Impact Analysis tab for detail.</t>
  </si>
  <si>
    <t xml:space="preserve">W8</t>
  </si>
  <si>
    <t xml:space="preserve">W9</t>
  </si>
  <si>
    <t xml:space="preserve">W10</t>
  </si>
  <si>
    <t xml:space="preserve">W11</t>
  </si>
  <si>
    <t xml:space="preserve">W12</t>
  </si>
  <si>
    <t xml:space="preserve">W13</t>
  </si>
  <si>
    <t xml:space="preserve">W14</t>
  </si>
  <si>
    <t xml:space="preserve">W15</t>
  </si>
  <si>
    <t xml:space="preserve">W16</t>
  </si>
  <si>
    <t xml:space="preserve">W17</t>
  </si>
  <si>
    <t xml:space="preserve">W18</t>
  </si>
  <si>
    <t xml:space="preserve">Phase 0 — Governance &amp; Scoping</t>
  </si>
  <si>
    <t xml:space="preserve">Confirm target IG versions &amp; lock scope</t>
  </si>
  <si>
    <t xml:space="preserve">Stand up dedicated conformance test environment</t>
  </si>
  <si>
    <t xml:space="preserve">Engage trading partner for X12 278/275 testing</t>
  </si>
  <si>
    <t xml:space="preserve">Project Manager</t>
  </si>
  <si>
    <t xml:space="preserve">Assign conformance owner per suite</t>
  </si>
  <si>
    <t xml:space="preserve">Phase 1 — Foundational IGs</t>
  </si>
  <si>
    <t xml:space="preserve">Run Inferno US Core Test Kit</t>
  </si>
  <si>
    <t xml:space="preserve">Run Inferno SMART App Launch Test Kit</t>
  </si>
  <si>
    <t xml:space="preserve">Run Inferno CARIN Blue Button Test Kit</t>
  </si>
  <si>
    <t xml:space="preserve">Remediate &amp; re-run foundational IG failures</t>
  </si>
  <si>
    <t xml:space="preserve">Phase 2 — Da Vinci Prior-Auth IGs</t>
  </si>
  <si>
    <t xml:space="preserve">Run Inferno Da Vinci CRD Test Kit</t>
  </si>
  <si>
    <t xml:space="preserve">Run Inferno Da Vinci DTR Test Kit</t>
  </si>
  <si>
    <t xml:space="preserve">Run Inferno Da Vinci PAS Test Kit</t>
  </si>
  <si>
    <t xml:space="preserve">Remediate &amp; re-run CRD/DTR/PAS failures</t>
  </si>
  <si>
    <t xml:space="preserve">Participate in CMS HL7 FHIR Connectathon (CRD/DTR/PAS tracks)</t>
  </si>
  <si>
    <t xml:space="preserve">Phase 3 — X12 278/275 Conformance</t>
  </si>
  <si>
    <t xml:space="preserve">X12 278 request/response testing with trading partner</t>
  </si>
  <si>
    <t xml:space="preserve">X12 275 attachment testing</t>
  </si>
  <si>
    <t xml:space="preserve">Validate against CAQH CORE 278 Infrastructure &amp; Data Content Rules</t>
  </si>
  <si>
    <t xml:space="preserve">Remediate &amp; re-test X12/CORE gaps</t>
  </si>
  <si>
    <t xml:space="preserve">Phase 4 — Formal Certification Pursuit</t>
  </si>
  <si>
    <t xml:space="preserve">Legal/product scoping — which side of each transaction to certify</t>
  </si>
  <si>
    <t xml:space="preserve">Engage ONC-Authorized Certification Body (ONC-ACB)</t>
  </si>
  <si>
    <t xml:space="preserve">Complete ONC-ACB witnessed testing &amp; remediation</t>
  </si>
  <si>
    <t xml:space="preserve">Confirm CHPL listing</t>
  </si>
  <si>
    <t xml:space="preserve">Pursue CAQH CORE Certification (278 Operating Rules)</t>
  </si>
  <si>
    <t xml:space="preserve">Sign CARIN Alliance Code of Conduct</t>
  </si>
  <si>
    <t xml:space="preserve">Phase 5 — Publish &amp; Report</t>
  </si>
  <si>
    <t xml:space="preserve">Compile public conformance &amp; certification summary</t>
  </si>
  <si>
    <t xml:space="preserve">Update RFI/proposal Testing Approach language</t>
  </si>
  <si>
    <t xml:space="preserve">Establish recurring re-test cadence</t>
  </si>
  <si>
    <t xml:space="preserve">Phase Legend:</t>
  </si>
  <si>
    <t xml:space="preserve">Standards-Conformance Testing — Time &amp; Cost Summary</t>
  </si>
  <si>
    <t xml:space="preserve">Labor priced against IBM's standard blended rate card (Source: Prior_Auth_Cost_Model V2.0.xlsx, Assumptions tab). Third-party fees are publicly sourced where available; unpublished vendor fees are labeled as request-a-quote placeholders — replace before using in a firm proposal.</t>
  </si>
  <si>
    <t xml:space="preserve">Standard Rate Card ($/day, blended)</t>
  </si>
  <si>
    <t xml:space="preserve">Role</t>
  </si>
  <si>
    <t xml:space="preserve">Daily Rate ($)</t>
  </si>
  <si>
    <t xml:space="preserve">Security Engineer</t>
  </si>
  <si>
    <t xml:space="preserve">Clinical Policy Reviewer</t>
  </si>
  <si>
    <t xml:space="preserve">Task-Level Cost Detail</t>
  </si>
  <si>
    <t xml:space="preserve">Person-Days</t>
  </si>
  <si>
    <t xml:space="preserve">Task Cost ($)</t>
  </si>
  <si>
    <t xml:space="preserve">Labor Subtotal:</t>
  </si>
  <si>
    <t xml:space="preserve">Total Person-Days:</t>
  </si>
  <si>
    <t xml:space="preserve">External / Third-Party Certification Fees</t>
  </si>
  <si>
    <t xml:space="preserve">Item</t>
  </si>
  <si>
    <t xml:space="preserve">Est. Fee ($)</t>
  </si>
  <si>
    <t xml:space="preserve">Basis / Source</t>
  </si>
  <si>
    <t xml:space="preserve">ONC-ACB certification testing — §170.315(g)(31)/(g)(32)/(g)(33)</t>
  </si>
  <si>
    <t xml:space="preserve">Quote-based; not publicly published. Illustrative placeholder based on reported minimum engagements (~$5,000+) and hourly rates (~$200–300/hr) scaled for a 3-criteria FHIR API scope. Request formal quote from an ONC-ACB (e.g., Drummond Group, SLI Compliance).</t>
  </si>
  <si>
    <t xml:space="preserve">CAQH CORE Certification Seal — Prior Authorization &amp; Referrals (278)</t>
  </si>
  <si>
    <t xml:space="preserve">Published CAQH fee schedule: $4,000 (entities &lt;$75M net annual revenue) or $6,000 (&gt;=$75M); no charge for federal/state government entities. IBM assumed at the $6,000 tier.</t>
  </si>
  <si>
    <t xml:space="preserve">CAQH CORE-authorized testing vendor fee</t>
  </si>
  <si>
    <t xml:space="preserve">Set independently by the CORE-authorized testing vendor, not published by CAQH CORE. Illustrative placeholder — request vendor quote.</t>
  </si>
  <si>
    <t xml:space="preserve">HL7 CMS FHIR Connectathon (CRD/DTR/PAS tracks)</t>
  </si>
  <si>
    <t xml:space="preserve">The CMS HL7 FHIR Connectathon is a free, virtual event (confirmed 2026 dates: July 14–16, 2026). No registration fee; only staff time, already captured in labor above.</t>
  </si>
  <si>
    <t xml:space="preserve">Voluntary, no-fee attestation administered by the CARIN Alliance.</t>
  </si>
  <si>
    <t xml:space="preserve">Incremental test-environment infrastructure</t>
  </si>
  <si>
    <t xml:space="preserve">Assumes use of the existing reference/staging environment already budgeted in the platform cost model (Prior_Auth_Cost_Model V2.0.xlsx); no incremental hosting cost assumed.</t>
  </si>
  <si>
    <t xml:space="preserve">External Fees Subtotal:</t>
  </si>
  <si>
    <t xml:space="preserve">GRAND TOTAL — Standards-Conformance Testing &amp; Certification Program</t>
  </si>
  <si>
    <t xml:space="preserve">Elapsed schedule: ~18 weeks (~4.1 months) — see Gantt Chart tab. Labor and elapsed time are not the same: several tasks (ONC-ACB witnessed testing, CAQH CORE certification) are vendor-paced and run largely in parallel with other work, so elapsed weeks exceed total person-days converted to weeks.</t>
  </si>
  <si>
    <t xml:space="preserve">All labor figures are illustrative planning-level estimates using IBM's standard blended rate card, consistent with the existing Prior_Auth_Cost_Model. Replace person-day estimates with actuals once a delivery team and detailed work breakdown are confirmed. Third-party fees marked as placeholders must be replaced with real vendor quotes before use in a priced proposal.</t>
  </si>
  <si>
    <t xml:space="preserve">AI Impact Analysis — Cost &amp; Effort With vs. Without Claude</t>
  </si>
  <si>
    <t xml:space="preserve">Each task rated on how much of the work an AI agent (Claude) can execute directly, vs. requires a human owner. Rates pulled from the Time &amp; Cost Summary tab. Third-party/vendor fees are unaffected by AI use and are not shown here.</t>
  </si>
  <si>
    <t xml:space="preserve">Claude can execute the task end-to-end (run tests, write/fix code, generate reports) with only light human review.</t>
  </si>
  <si>
    <t xml:space="preserve">Claude materially speeds up the work, but a human must still decide, judge, or coordinate part of it.</t>
  </si>
  <si>
    <t xml:space="preserve">Inherently human: signatures, contracts, vendor relationships, live witnessed sessions. Claude can draft supporting material only.</t>
  </si>
  <si>
    <t xml:space="preserve">Task-Level Comparison</t>
  </si>
  <si>
    <t xml:space="preserve">Days
(No AI)</t>
  </si>
  <si>
    <t xml:space="preserve">Days
(With AI)</t>
  </si>
  <si>
    <t xml:space="preserve">Cost
(No AI, $)</t>
  </si>
  <si>
    <t xml:space="preserve">Cost
(With AI, $)</t>
  </si>
  <si>
    <t xml:space="preserve">Savings ($)</t>
  </si>
  <si>
    <t xml:space="preserve">Rationale by Task</t>
  </si>
  <si>
    <t xml:space="preserve">Rationale</t>
  </si>
  <si>
    <t xml:space="preserve">Claude can research current IG versions and draft the scope memo; a human still locks scope.</t>
  </si>
  <si>
    <t xml:space="preserve">Environment/config work an agent can execute directly (env vars, cutover config, verification checks); engineer reviews before touching a live-adjacent backbone.</t>
  </si>
  <si>
    <t xml:space="preserve">Business relationship/outreach; Claude can draft the engagement email and test agreement.</t>
  </si>
  <si>
    <t xml:space="preserve">Internal people/organizational decision.</t>
  </si>
  <si>
    <t xml:space="preserve">Claude can run the test kit, parse results, and produce the pass/fail report end-to-end.</t>
  </si>
  <si>
    <t xml:space="preserve">Same as above — mechanical test execution and reporting.</t>
  </si>
  <si>
    <t xml:space="preserve">Same as above.</t>
  </si>
  <si>
    <t xml:space="preserve">Claude can diagnose failures, write and test fixes, and re-run the suite; engineer reviews non-trivial fixes.</t>
  </si>
  <si>
    <t xml:space="preserve">Mechanical test execution and reporting.</t>
  </si>
  <si>
    <t xml:space="preserve">PAS kit is still in draft/preliminary status on ONC's side — expect kit quirks that need engineer judgment alongside AI execution.</t>
  </si>
  <si>
    <t xml:space="preserve">Most fixes are AI-draftable; triage/prioritization of complex prior-auth logic failures needs engineer judgment.</t>
  </si>
  <si>
    <t xml:space="preserve">Live, real-time interoperability testing with independent implementers; Claude can prep test scripts and scenarios beforehand.</t>
  </si>
  <si>
    <t xml:space="preserve">Claude can generate/validate transactions and automate comparisons; live coordination with the trading partner needs a human.</t>
  </si>
  <si>
    <t xml:space="preserve">Same pattern as 3.1.</t>
  </si>
  <si>
    <t xml:space="preserve">Rule-by-rule conformance checking against a published checklist — well suited to direct AI execution; human confirms sign-off.</t>
  </si>
  <si>
    <t xml:space="preserve">Fix drafting is automatable; final validation needs engineer judgment.</t>
  </si>
  <si>
    <t xml:space="preserve">Claude can draft the options analysis; the certification-scope decision itself needs human legal/product judgment.</t>
  </si>
  <si>
    <t xml:space="preserve">Vendor engagement and contracting; Claude can draft outreach and RFP materials.</t>
  </si>
  <si>
    <t xml:space="preserve">Remediation work is AI-assisted, but the ACB's witnessed session itself requires a human present and is vendor-scheduled — the real bottleneck isn't raw labor.</t>
  </si>
  <si>
    <t xml:space="preserve">Official administrative confirmation step.</t>
  </si>
  <si>
    <t xml:space="preserve">Documentation/prep heavily automatable; the certification testing session itself is vendor-coordinated.</t>
  </si>
  <si>
    <t xml:space="preserve">Requires an authorized human signatory; Claude can draft the submission.</t>
  </si>
  <si>
    <t xml:space="preserve">Drafting/compiling a summary report from already-gathered evidence — direct AI output.</t>
  </si>
  <si>
    <t xml:space="preserve">Direct document-editing task — the same class of work already demonstrated on the V4 RFI redline.</t>
  </si>
  <si>
    <t xml:space="preserve">Claude can draft the schedule/automation; a human approves the cadence policy.</t>
  </si>
  <si>
    <t xml:space="preserve">Cost Comparison Summary</t>
  </si>
  <si>
    <t xml:space="preserve">Internal Labor</t>
  </si>
  <si>
    <t xml:space="preserve">External / Third-Party Fees (unaffected by AI)</t>
  </si>
  <si>
    <t xml:space="preserve">GRAND TOTAL</t>
  </si>
  <si>
    <t xml:space="preserve">Task Count by AI Feasibility (of 26 tasks)</t>
  </si>
  <si>
    <t xml:space="preserve">Schedule note: internal-labor compression does not shrink elapsed calendar time proportionally. Phases 0–3 are engineering-labor-bound and could plausibly compress; Phase 4 (ONC-ACB witnessed testing, CAQH CORE certification) is vendor-paced and stays the critical path regardless of AI use — expect the 18-week elapsed schedule to compress modestly (illustratively, to roughly 14–15 weeks), not in proportion to the labor-cost savings.</t>
  </si>
  <si>
    <t xml:space="preserve">All person-day and rationale judgments are illustrative planning estimates, not a delivery commitment. External/third-party fees (ONC-ACB, CAQH CORE) do not change with AI use since they are paid to independent bodies performing witnessed/independent testing.</t>
  </si>
</sst>
</file>

<file path=xl/styles.xml><?xml version="1.0" encoding="utf-8"?>
<styleSheet xmlns="http://schemas.openxmlformats.org/spreadsheetml/2006/main">
  <numFmts count="4">
    <numFmt numFmtId="164" formatCode="General"/>
    <numFmt numFmtId="165" formatCode="\$#,##0"/>
    <numFmt numFmtId="166" formatCode="0.0%"/>
    <numFmt numFmtId="167" formatCode="\$#,##0"/>
  </numFmts>
  <fonts count="34">
    <font>
      <sz val="11"/>
      <color theme="1"/>
      <name val="Calibri"/>
      <family val="2"/>
      <charset val="1"/>
    </font>
    <font>
      <sz val="10"/>
      <name val="Arial"/>
      <family val="0"/>
    </font>
    <font>
      <sz val="10"/>
      <name val="Arial"/>
      <family val="0"/>
    </font>
    <font>
      <sz val="10"/>
      <name val="Arial"/>
      <family val="0"/>
    </font>
    <font>
      <b val="true"/>
      <sz val="16"/>
      <color rgb="FF1F2A44"/>
      <name val="Arial"/>
      <family val="0"/>
      <charset val="1"/>
    </font>
    <font>
      <i val="true"/>
      <sz val="9"/>
      <color rgb="FF555555"/>
      <name val="Arial"/>
      <family val="0"/>
      <charset val="1"/>
    </font>
    <font>
      <b val="true"/>
      <sz val="11"/>
      <color rgb="FF1F2A44"/>
      <name val="Arial"/>
      <family val="0"/>
      <charset val="1"/>
    </font>
    <font>
      <b val="true"/>
      <sz val="9"/>
      <color rgb="FF1A7F37"/>
      <name val="Arial"/>
      <family val="0"/>
      <charset val="1"/>
    </font>
    <font>
      <sz val="9"/>
      <name val="Arial"/>
      <family val="0"/>
      <charset val="1"/>
    </font>
    <font>
      <b val="true"/>
      <sz val="9"/>
      <color rgb="FF9A6700"/>
      <name val="Arial"/>
      <family val="0"/>
      <charset val="1"/>
    </font>
    <font>
      <b val="true"/>
      <sz val="9"/>
      <color rgb="FF6B6F76"/>
      <name val="Arial"/>
      <family val="0"/>
      <charset val="1"/>
    </font>
    <font>
      <b val="true"/>
      <sz val="9"/>
      <color rgb="FFB00020"/>
      <name val="Arial"/>
      <family val="0"/>
      <charset val="1"/>
    </font>
    <font>
      <b val="true"/>
      <sz val="10"/>
      <color rgb="FFFFFFFF"/>
      <name val="Arial"/>
      <family val="0"/>
      <charset val="1"/>
    </font>
    <font>
      <b val="true"/>
      <sz val="8"/>
      <color rgb="FF9A6700"/>
      <name val="Arial"/>
      <family val="0"/>
      <charset val="1"/>
    </font>
    <font>
      <b val="true"/>
      <sz val="8"/>
      <color rgb="FF1A7F37"/>
      <name val="Arial"/>
      <family val="0"/>
      <charset val="1"/>
    </font>
    <font>
      <sz val="9"/>
      <color rgb="FF0000FF"/>
      <name val="Arial"/>
      <family val="0"/>
      <charset val="1"/>
    </font>
    <font>
      <b val="true"/>
      <sz val="8"/>
      <color rgb="FFB00020"/>
      <name val="Arial"/>
      <family val="0"/>
      <charset val="1"/>
    </font>
    <font>
      <b val="true"/>
      <sz val="8"/>
      <color rgb="FF6B6F76"/>
      <name val="Arial"/>
      <family val="0"/>
      <charset val="1"/>
    </font>
    <font>
      <i val="true"/>
      <sz val="9"/>
      <color rgb="FF1A7F37"/>
      <name val="Arial"/>
      <family val="0"/>
      <charset val="1"/>
    </font>
    <font>
      <i val="true"/>
      <sz val="9"/>
      <color rgb="FF9A6700"/>
      <name val="Arial"/>
      <family val="0"/>
      <charset val="1"/>
    </font>
    <font>
      <b val="true"/>
      <sz val="12"/>
      <color rgb="FF1F2A44"/>
      <name val="Arial"/>
      <family val="0"/>
      <charset val="1"/>
    </font>
    <font>
      <b val="true"/>
      <sz val="10"/>
      <name val="Arial"/>
      <family val="0"/>
      <charset val="1"/>
    </font>
    <font>
      <sz val="10"/>
      <name val="Arial"/>
      <family val="0"/>
      <charset val="1"/>
    </font>
    <font>
      <b val="true"/>
      <sz val="10"/>
      <color rgb="FF1A7F37"/>
      <name val="Arial"/>
      <family val="0"/>
      <charset val="1"/>
    </font>
    <font>
      <sz val="10"/>
      <color rgb="FF0000FF"/>
      <name val="Arial"/>
      <family val="0"/>
      <charset val="1"/>
    </font>
    <font>
      <i val="true"/>
      <sz val="8"/>
      <color rgb="FF8A6D00"/>
      <name val="Arial"/>
      <family val="0"/>
      <charset val="1"/>
    </font>
    <font>
      <b val="true"/>
      <sz val="11"/>
      <color rgb="FFFFFFFF"/>
      <name val="Arial"/>
      <family val="0"/>
      <charset val="1"/>
    </font>
    <font>
      <b val="true"/>
      <sz val="10"/>
      <color rgb="FF1F2A44"/>
      <name val="Arial"/>
      <family val="0"/>
      <charset val="1"/>
    </font>
    <font>
      <b val="true"/>
      <sz val="9"/>
      <name val="Arial"/>
      <family val="0"/>
      <charset val="1"/>
    </font>
    <font>
      <i val="true"/>
      <sz val="9"/>
      <color rgb="FF8A6D00"/>
      <name val="Arial"/>
      <family val="0"/>
      <charset val="1"/>
    </font>
    <font>
      <b val="true"/>
      <sz val="14"/>
      <color rgb="FF1F2A44"/>
      <name val="Arial"/>
      <family val="0"/>
      <charset val="1"/>
    </font>
    <font>
      <i val="true"/>
      <sz val="10"/>
      <color rgb="FF555555"/>
      <name val="Arial"/>
      <family val="0"/>
      <charset val="1"/>
    </font>
    <font>
      <i val="true"/>
      <sz val="9"/>
      <color rgb="FF777777"/>
      <name val="Arial"/>
      <family val="0"/>
      <charset val="1"/>
    </font>
    <font>
      <b val="true"/>
      <sz val="12"/>
      <color rgb="FFFFFFFF"/>
      <name val="Arial"/>
      <family val="0"/>
      <charset val="1"/>
    </font>
  </fonts>
  <fills count="16">
    <fill>
      <patternFill patternType="none"/>
    </fill>
    <fill>
      <patternFill patternType="gray125"/>
    </fill>
    <fill>
      <patternFill patternType="solid">
        <fgColor rgb="FFDAFBE1"/>
        <bgColor rgb="FFE8E8E8"/>
      </patternFill>
    </fill>
    <fill>
      <patternFill patternType="solid">
        <fgColor rgb="FFFFF3C4"/>
        <bgColor rgb="FFFFF8E1"/>
      </patternFill>
    </fill>
    <fill>
      <patternFill patternType="solid">
        <fgColor rgb="FFE8E8E8"/>
        <bgColor rgb="FFD6E4F0"/>
      </patternFill>
    </fill>
    <fill>
      <patternFill patternType="solid">
        <fgColor rgb="FFFDECEA"/>
        <bgColor rgb="FFFFF8E1"/>
      </patternFill>
    </fill>
    <fill>
      <patternFill patternType="solid">
        <fgColor rgb="FF1F2A44"/>
        <bgColor rgb="FF003366"/>
      </patternFill>
    </fill>
    <fill>
      <patternFill patternType="solid">
        <fgColor rgb="FFFFF8E1"/>
        <bgColor rgb="FFFDECEA"/>
      </patternFill>
    </fill>
    <fill>
      <patternFill patternType="solid">
        <fgColor rgb="FF007D79"/>
        <bgColor rgb="FF008080"/>
      </patternFill>
    </fill>
    <fill>
      <patternFill patternType="solid">
        <fgColor rgb="FFC9D6EA"/>
        <bgColor rgb="FFD6D6D6"/>
      </patternFill>
    </fill>
    <fill>
      <patternFill patternType="solid">
        <fgColor rgb="FFFBD9C4"/>
        <bgColor rgb="FFF3C9E0"/>
      </patternFill>
    </fill>
    <fill>
      <patternFill patternType="solid">
        <fgColor rgb="FFE3D6F0"/>
        <bgColor rgb="FFD6D6D6"/>
      </patternFill>
    </fill>
    <fill>
      <patternFill patternType="solid">
        <fgColor rgb="FFD6D6D6"/>
        <bgColor rgb="FFC9D6EA"/>
      </patternFill>
    </fill>
    <fill>
      <patternFill patternType="solid">
        <fgColor rgb="FFF0E68C"/>
        <bgColor rgb="FFFBD9C4"/>
      </patternFill>
    </fill>
    <fill>
      <patternFill patternType="solid">
        <fgColor rgb="FFD6E4F0"/>
        <bgColor rgb="FFE8E8E8"/>
      </patternFill>
    </fill>
    <fill>
      <patternFill patternType="solid">
        <fgColor rgb="FFF3C9E0"/>
        <bgColor rgb="FFE3D6F0"/>
      </patternFill>
    </fill>
  </fills>
  <borders count="3">
    <border diagonalUp="false" diagonalDown="false">
      <left/>
      <right/>
      <top/>
      <bottom/>
      <diagonal/>
    </border>
    <border diagonalUp="false" diagonalDown="false">
      <left style="thin">
        <color rgb="FFB0B0B0"/>
      </left>
      <right style="thin">
        <color rgb="FFB0B0B0"/>
      </right>
      <top style="thin">
        <color rgb="FFB0B0B0"/>
      </top>
      <bottom style="thin">
        <color rgb="FFB0B0B0"/>
      </bottom>
      <diagonal/>
    </border>
    <border diagonalUp="false" diagonalDown="false">
      <left style="thin">
        <color rgb="FFB0B0B0"/>
      </left>
      <right/>
      <top style="thin">
        <color rgb="FFB0B0B0"/>
      </top>
      <bottom style="thin">
        <color rgb="FFB0B0B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center" textRotation="0" wrapText="tru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4" fontId="10" fillId="4" borderId="1" xfId="0" applyFont="true" applyBorder="true" applyAlignment="false" applyProtection="false">
      <alignment horizontal="general" vertical="bottom" textRotation="0" wrapText="false" indent="0" shrinkToFit="false"/>
      <protection locked="true" hidden="false"/>
    </xf>
    <xf numFmtId="164" fontId="11" fillId="5" borderId="1" xfId="0" applyFont="true" applyBorder="true" applyAlignment="false" applyProtection="false">
      <alignment horizontal="general" vertical="bottom" textRotation="0" wrapText="false" indent="0" shrinkToFit="false"/>
      <protection locked="true" hidden="false"/>
    </xf>
    <xf numFmtId="164" fontId="12" fillId="6" borderId="1" xfId="0" applyFont="true" applyBorder="true" applyAlignment="true" applyProtection="false">
      <alignment horizontal="left" vertical="center" textRotation="0" wrapText="true" indent="0" shrinkToFit="false"/>
      <protection locked="true" hidden="false"/>
    </xf>
    <xf numFmtId="164" fontId="12" fillId="6"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13" fillId="3" borderId="1" xfId="0" applyFont="true" applyBorder="true" applyAlignment="true" applyProtection="false">
      <alignment horizontal="center" vertical="bottom" textRotation="0" wrapText="true" indent="0" shrinkToFit="false"/>
      <protection locked="true" hidden="false"/>
    </xf>
    <xf numFmtId="164" fontId="14" fillId="2" borderId="1" xfId="0" applyFont="true" applyBorder="true" applyAlignment="true" applyProtection="false">
      <alignment horizontal="center" vertical="bottom" textRotation="0" wrapText="true" indent="0" shrinkToFit="false"/>
      <protection locked="true" hidden="false"/>
    </xf>
    <xf numFmtId="164" fontId="15" fillId="0" borderId="1" xfId="0" applyFont="true" applyBorder="true" applyAlignment="true" applyProtection="false">
      <alignment horizontal="center"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4" fontId="16" fillId="5" borderId="1" xfId="0" applyFont="true" applyBorder="true" applyAlignment="true" applyProtection="false">
      <alignment horizontal="center" vertical="bottom" textRotation="0" wrapText="true" indent="0" shrinkToFit="false"/>
      <protection locked="true" hidden="false"/>
    </xf>
    <xf numFmtId="164" fontId="17" fillId="4" borderId="1" xfId="0" applyFont="true" applyBorder="true" applyAlignment="true" applyProtection="false">
      <alignment horizontal="center" vertical="bottom" textRotation="0" wrapText="tru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19" fillId="0" borderId="1" xfId="0" applyFont="true" applyBorder="true" applyAlignment="true" applyProtection="false">
      <alignment horizontal="general" vertical="top" textRotation="0" wrapText="tru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21" fillId="0" borderId="1" xfId="0" applyFont="true" applyBorder="true" applyAlignment="false" applyProtection="false">
      <alignment horizontal="general" vertical="bottom" textRotation="0" wrapText="false" indent="0" shrinkToFit="false"/>
      <protection locked="true" hidden="false"/>
    </xf>
    <xf numFmtId="165" fontId="22" fillId="0" borderId="1" xfId="0" applyFont="true" applyBorder="true" applyAlignment="false" applyProtection="false">
      <alignment horizontal="general" vertical="bottom" textRotation="0" wrapText="false" indent="0" shrinkToFit="false"/>
      <protection locked="true" hidden="false"/>
    </xf>
    <xf numFmtId="165" fontId="23" fillId="0" borderId="1" xfId="0" applyFont="true" applyBorder="true" applyAlignment="false" applyProtection="false">
      <alignment horizontal="general" vertical="bottom" textRotation="0" wrapText="false" indent="0" shrinkToFit="false"/>
      <protection locked="true" hidden="false"/>
    </xf>
    <xf numFmtId="166" fontId="23" fillId="0" borderId="1" xfId="0" applyFont="true" applyBorder="true" applyAlignment="false" applyProtection="false">
      <alignment horizontal="general" vertical="bottom" textRotation="0" wrapText="false" indent="0" shrinkToFit="false"/>
      <protection locked="true" hidden="false"/>
    </xf>
    <xf numFmtId="164" fontId="22" fillId="0" borderId="1" xfId="0" applyFont="true" applyBorder="true" applyAlignment="false" applyProtection="false">
      <alignment horizontal="general" vertical="bottom" textRotation="0" wrapText="false" indent="0" shrinkToFit="false"/>
      <protection locked="true" hidden="false"/>
    </xf>
    <xf numFmtId="165" fontId="24"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4" fontId="25" fillId="0" borderId="0" xfId="0" applyFont="true" applyBorder="true" applyAlignment="false" applyProtection="false">
      <alignment horizontal="general" vertical="bottom" textRotation="0" wrapText="false" indent="0" shrinkToFit="false"/>
      <protection locked="true" hidden="false"/>
    </xf>
    <xf numFmtId="164" fontId="26" fillId="6" borderId="0" xfId="0" applyFont="true" applyBorder="false" applyAlignment="false" applyProtection="false">
      <alignment horizontal="general" vertical="bottom" textRotation="0" wrapText="false" indent="0" shrinkToFit="false"/>
      <protection locked="true" hidden="false"/>
    </xf>
    <xf numFmtId="165" fontId="26" fillId="6" borderId="0" xfId="0" applyFont="true" applyBorder="false" applyAlignment="false" applyProtection="false">
      <alignment horizontal="general" vertical="bottom" textRotation="0" wrapText="false" indent="0" shrinkToFit="false"/>
      <protection locked="true" hidden="false"/>
    </xf>
    <xf numFmtId="166" fontId="26" fillId="6"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25" fillId="0" borderId="0" xfId="0" applyFont="true" applyBorder="true" applyAlignment="true" applyProtection="false">
      <alignment horizontal="general" vertical="bottom" textRotation="0" wrapText="tru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4" fontId="28" fillId="0" borderId="1" xfId="0" applyFont="true" applyBorder="true" applyAlignment="true" applyProtection="false">
      <alignment horizontal="center" vertical="bottom" textRotation="0" wrapText="false" indent="0" shrinkToFit="false"/>
      <protection locked="true" hidden="false"/>
    </xf>
    <xf numFmtId="165" fontId="21" fillId="0" borderId="1" xfId="0" applyFont="true" applyBorder="true" applyAlignment="false" applyProtection="false">
      <alignment horizontal="general" vertical="bottom" textRotation="0" wrapText="false" indent="0" shrinkToFit="false"/>
      <protection locked="true" hidden="false"/>
    </xf>
    <xf numFmtId="164" fontId="29" fillId="7"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true" applyAlignment="true" applyProtection="false">
      <alignment horizontal="general" vertical="center" textRotation="0" wrapText="true" indent="0" shrinkToFit="false"/>
      <protection locked="true" hidden="false"/>
    </xf>
    <xf numFmtId="164" fontId="30" fillId="0" borderId="0" xfId="0" applyFont="true" applyBorder="true" applyAlignment="false" applyProtection="false">
      <alignment horizontal="general" vertical="bottom" textRotation="0" wrapText="false" indent="0" shrinkToFit="false"/>
      <protection locked="true" hidden="false"/>
    </xf>
    <xf numFmtId="164" fontId="12" fillId="8" borderId="0"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13" fillId="3" borderId="1" xfId="0" applyFont="true" applyBorder="true" applyAlignment="true" applyProtection="false">
      <alignment horizontal="center" vertical="center" textRotation="0" wrapText="true" indent="0" shrinkToFit="false"/>
      <protection locked="true" hidden="false"/>
    </xf>
    <xf numFmtId="164" fontId="14"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4" fontId="7" fillId="2" borderId="2" xfId="0" applyFont="true" applyBorder="true" applyAlignment="true" applyProtection="false">
      <alignment horizontal="center" vertical="center" textRotation="0" wrapText="false" indent="0" shrinkToFit="false"/>
      <protection locked="true" hidden="false"/>
    </xf>
    <xf numFmtId="164" fontId="16" fillId="5" borderId="1" xfId="0" applyFont="true" applyBorder="true" applyAlignment="true" applyProtection="false">
      <alignment horizontal="center" vertical="center" textRotation="0" wrapText="true" indent="0" shrinkToFit="false"/>
      <protection locked="true" hidden="false"/>
    </xf>
    <xf numFmtId="164" fontId="17" fillId="4" borderId="1" xfId="0" applyFont="true" applyBorder="true" applyAlignment="true" applyProtection="false">
      <alignment horizontal="center" vertical="center" textRotation="0" wrapText="true" indent="0" shrinkToFit="false"/>
      <protection locked="true" hidden="false"/>
    </xf>
    <xf numFmtId="164" fontId="0" fillId="9" borderId="1" xfId="0" applyFont="false" applyBorder="tru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10" borderId="1" xfId="0" applyFont="false" applyBorder="true" applyAlignment="false" applyProtection="false">
      <alignment horizontal="general" vertical="bottom" textRotation="0" wrapText="false" indent="0" shrinkToFit="false"/>
      <protection locked="true" hidden="false"/>
    </xf>
    <xf numFmtId="164" fontId="0" fillId="11" borderId="1" xfId="0" applyFont="false" applyBorder="true" applyAlignment="false" applyProtection="false">
      <alignment horizontal="general" vertical="bottom" textRotation="0" wrapText="false" indent="0" shrinkToFit="false"/>
      <protection locked="true" hidden="false"/>
    </xf>
    <xf numFmtId="164" fontId="0" fillId="12" borderId="1" xfId="0" applyFont="false" applyBorder="true" applyAlignment="false" applyProtection="false">
      <alignment horizontal="general" vertical="bottom" textRotation="0" wrapText="false" indent="0" shrinkToFit="false"/>
      <protection locked="true" hidden="false"/>
    </xf>
    <xf numFmtId="164" fontId="0" fillId="13" borderId="1" xfId="0" applyFont="false" applyBorder="true" applyAlignment="false" applyProtection="false">
      <alignment horizontal="general" vertical="bottom" textRotation="0" wrapText="fals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14" borderId="1" xfId="0" applyFont="false" applyBorder="true" applyAlignment="false" applyProtection="false">
      <alignment horizontal="general"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0" fillId="15"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31" fillId="0" borderId="0" xfId="0" applyFont="true" applyBorder="true" applyAlignment="true" applyProtection="false">
      <alignment horizontal="general" vertical="bottom" textRotation="0" wrapText="false" indent="0" shrinkToFit="false"/>
      <protection locked="true" hidden="false"/>
    </xf>
    <xf numFmtId="164" fontId="26" fillId="8" borderId="0" xfId="0" applyFont="true" applyBorder="true" applyAlignment="true" applyProtection="false">
      <alignment horizontal="left" vertical="center" textRotation="0" wrapText="false" indent="0" shrinkToFit="false"/>
      <protection locked="true" hidden="false"/>
    </xf>
    <xf numFmtId="164" fontId="22" fillId="0" borderId="1" xfId="0" applyFont="true" applyBorder="true" applyAlignment="true" applyProtection="false">
      <alignment horizontal="left" vertical="top" textRotation="0" wrapText="false" indent="0" shrinkToFit="false"/>
      <protection locked="true" hidden="false"/>
    </xf>
    <xf numFmtId="164" fontId="22" fillId="0" borderId="1" xfId="0" applyFont="true" applyBorder="true" applyAlignment="true" applyProtection="false">
      <alignment horizontal="left" vertical="top" textRotation="0" wrapText="true" indent="0" shrinkToFit="false"/>
      <protection locked="true" hidden="false"/>
    </xf>
    <xf numFmtId="164" fontId="30" fillId="0" borderId="0" xfId="0" applyFont="true" applyBorder="true" applyAlignment="true" applyProtection="false">
      <alignment horizontal="general" vertical="bottom" textRotation="0" wrapText="false" indent="0" shrinkToFit="false"/>
      <protection locked="true" hidden="false"/>
    </xf>
    <xf numFmtId="164" fontId="32" fillId="0" borderId="0" xfId="0" applyFont="true" applyBorder="true" applyAlignment="true" applyProtection="false">
      <alignment horizontal="general" vertical="bottom" textRotation="0" wrapText="false" indent="0" shrinkToFit="false"/>
      <protection locked="true" hidden="false"/>
    </xf>
    <xf numFmtId="164" fontId="12" fillId="8" borderId="0"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0" fillId="9" borderId="1" xfId="0" applyFont="false" applyBorder="tru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0" fillId="2" borderId="1" xfId="0" applyFont="false" applyBorder="true" applyAlignment="true" applyProtection="false">
      <alignment horizontal="general" vertical="bottom" textRotation="0" wrapText="false" indent="0" shrinkToFit="false"/>
      <protection locked="true" hidden="false"/>
    </xf>
    <xf numFmtId="164" fontId="0" fillId="3" borderId="1" xfId="0" applyFont="false" applyBorder="true" applyAlignment="true" applyProtection="false">
      <alignment horizontal="general" vertical="bottom" textRotation="0" wrapText="false" indent="0" shrinkToFit="false"/>
      <protection locked="true" hidden="false"/>
    </xf>
    <xf numFmtId="164" fontId="0" fillId="10" borderId="1" xfId="0" applyFont="false" applyBorder="true" applyAlignment="true" applyProtection="false">
      <alignment horizontal="general" vertical="bottom" textRotation="0" wrapText="false" indent="0" shrinkToFit="false"/>
      <protection locked="true" hidden="false"/>
    </xf>
    <xf numFmtId="164" fontId="0" fillId="15" borderId="1" xfId="0" applyFont="false" applyBorder="true" applyAlignment="true" applyProtection="false">
      <alignment horizontal="general" vertical="bottom" textRotation="0" wrapText="false" indent="0" shrinkToFit="false"/>
      <protection locked="true" hidden="false"/>
    </xf>
    <xf numFmtId="164" fontId="0" fillId="12" borderId="1" xfId="0" applyFont="false" applyBorder="true" applyAlignment="tru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0" fillId="5" borderId="1" xfId="0" applyFont="fals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29" fillId="7"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7" fontId="15" fillId="0" borderId="1" xfId="0" applyFont="true" applyBorder="true" applyAlignment="true" applyProtection="false">
      <alignment horizontal="general" vertical="bottom" textRotation="0" wrapText="false" indent="0" shrinkToFit="false"/>
      <protection locked="true" hidden="false"/>
    </xf>
    <xf numFmtId="167" fontId="8" fillId="0" borderId="1" xfId="0" applyFont="true" applyBorder="true" applyAlignment="true" applyProtection="false">
      <alignment horizontal="general" vertical="bottom" textRotation="0" wrapText="false" indent="0" shrinkToFit="false"/>
      <protection locked="true" hidden="false"/>
    </xf>
    <xf numFmtId="167" fontId="28" fillId="0" borderId="1" xfId="0" applyFont="true" applyBorder="tru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right" vertical="bottom" textRotation="0" wrapText="false" indent="0" shrinkToFit="false"/>
      <protection locked="true" hidden="false"/>
    </xf>
    <xf numFmtId="167" fontId="21" fillId="2"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33" fillId="6" borderId="0" xfId="0" applyFont="true" applyBorder="true" applyAlignment="true" applyProtection="false">
      <alignment horizontal="left" vertical="center" textRotation="0" wrapText="false" indent="0" shrinkToFit="false"/>
      <protection locked="true" hidden="false"/>
    </xf>
    <xf numFmtId="167" fontId="33" fillId="6"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bottom" textRotation="0" wrapText="false" indent="0" shrinkToFit="false"/>
      <protection locked="true" hidden="false"/>
    </xf>
    <xf numFmtId="164" fontId="11" fillId="5" borderId="1" xfId="0" applyFont="true" applyBorder="true" applyAlignment="tru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1" fillId="0" borderId="1" xfId="0" applyFont="true" applyBorder="true" applyAlignment="true" applyProtection="false">
      <alignment horizontal="general" vertical="bottom" textRotation="0" wrapText="false" indent="0" shrinkToFit="false"/>
      <protection locked="true" hidden="false"/>
    </xf>
    <xf numFmtId="167" fontId="22" fillId="0" borderId="1" xfId="0" applyFont="true" applyBorder="true" applyAlignment="true" applyProtection="false">
      <alignment horizontal="general" vertical="bottom" textRotation="0" wrapText="false" indent="0" shrinkToFit="false"/>
      <protection locked="true" hidden="false"/>
    </xf>
    <xf numFmtId="167" fontId="23" fillId="0" borderId="1" xfId="0" applyFont="true" applyBorder="true" applyAlignment="true" applyProtection="false">
      <alignment horizontal="general" vertical="bottom" textRotation="0" wrapText="false" indent="0" shrinkToFit="false"/>
      <protection locked="true" hidden="false"/>
    </xf>
    <xf numFmtId="166" fontId="23" fillId="0" borderId="1" xfId="0" applyFont="true" applyBorder="true" applyAlignment="true" applyProtection="false">
      <alignment horizontal="general" vertical="bottom" textRotation="0" wrapText="false" indent="0" shrinkToFit="false"/>
      <protection locked="true" hidden="false"/>
    </xf>
    <xf numFmtId="164" fontId="22" fillId="0" borderId="1" xfId="0" applyFont="true" applyBorder="true" applyAlignment="true" applyProtection="false">
      <alignment horizontal="general" vertical="bottom" textRotation="0" wrapText="false" indent="0" shrinkToFit="false"/>
      <protection locked="true" hidden="false"/>
    </xf>
    <xf numFmtId="164" fontId="26" fillId="6" borderId="0" xfId="0" applyFont="true" applyBorder="false" applyAlignment="true" applyProtection="false">
      <alignment horizontal="general" vertical="bottom" textRotation="0" wrapText="false" indent="0" shrinkToFit="false"/>
      <protection locked="true" hidden="false"/>
    </xf>
    <xf numFmtId="167" fontId="26" fillId="6" borderId="0" xfId="0" applyFont="true" applyBorder="false" applyAlignment="true" applyProtection="false">
      <alignment horizontal="general" vertical="bottom" textRotation="0" wrapText="false" indent="0" shrinkToFit="false"/>
      <protection locked="true" hidden="false"/>
    </xf>
    <xf numFmtId="166" fontId="26" fillId="6" borderId="0" xfId="0" applyFont="true" applyBorder="false" applyAlignment="tru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0E68C"/>
      <rgbColor rgb="FFFF00FF"/>
      <rgbColor rgb="FF00FFFF"/>
      <rgbColor rgb="FFB00020"/>
      <rgbColor rgb="FF1A7F37"/>
      <rgbColor rgb="FF000080"/>
      <rgbColor rgb="FF8A6D00"/>
      <rgbColor rgb="FF800080"/>
      <rgbColor rgb="FF007D79"/>
      <rgbColor rgb="FFB0B0B0"/>
      <rgbColor rgb="FF777777"/>
      <rgbColor rgb="FF9999FF"/>
      <rgbColor rgb="FF993366"/>
      <rgbColor rgb="FFFFF8E1"/>
      <rgbColor rgb="FFD6E4F0"/>
      <rgbColor rgb="FF660066"/>
      <rgbColor rgb="FFFF8080"/>
      <rgbColor rgb="FF0066CC"/>
      <rgbColor rgb="FFC9D6EA"/>
      <rgbColor rgb="FF000080"/>
      <rgbColor rgb="FFFF00FF"/>
      <rgbColor rgb="FFFDECEA"/>
      <rgbColor rgb="FF00FFFF"/>
      <rgbColor rgb="FF800080"/>
      <rgbColor rgb="FF800000"/>
      <rgbColor rgb="FF008080"/>
      <rgbColor rgb="FF0000FF"/>
      <rgbColor rgb="FF00CCFF"/>
      <rgbColor rgb="FFE8E8E8"/>
      <rgbColor rgb="FFDAFBE1"/>
      <rgbColor rgb="FFFFF3C4"/>
      <rgbColor rgb="FFD6D6D6"/>
      <rgbColor rgb="FFF3C9E0"/>
      <rgbColor rgb="FFE3D6F0"/>
      <rgbColor rgb="FFFBD9C4"/>
      <rgbColor rgb="FF3366FF"/>
      <rgbColor rgb="FF33CCCC"/>
      <rgbColor rgb="FF99CC00"/>
      <rgbColor rgb="FFFFCC00"/>
      <rgbColor rgb="FFFF9900"/>
      <rgbColor rgb="FFFF6600"/>
      <rgbColor rgb="FF6B6F76"/>
      <rgbColor rgb="FF969696"/>
      <rgbColor rgb="FF003366"/>
      <rgbColor rgb="FF339966"/>
      <rgbColor rgb="FF003300"/>
      <rgbColor rgb="FF333300"/>
      <rgbColor rgb="FF9A6700"/>
      <rgbColor rgb="FF993366"/>
      <rgbColor rgb="FF555555"/>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9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5" topLeftCell="A1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4" min="2" style="0" width="16"/>
    <col collapsed="false" customWidth="true" hidden="false" outlineLevel="0" max="6" min="5" style="0" width="12"/>
    <col collapsed="false" customWidth="true" hidden="false" outlineLevel="0" max="8" min="7" style="0" width="10"/>
    <col collapsed="false" customWidth="true" hidden="false" outlineLevel="0" max="11" min="9" style="0" width="12"/>
  </cols>
  <sheetData>
    <row r="1" customFormat="false" ht="25.5" hidden="false" customHeight="true" outlineLevel="0" collapsed="false">
      <c r="A1" s="1" t="s">
        <v>0</v>
      </c>
      <c r="B1" s="1"/>
      <c r="C1" s="1"/>
      <c r="D1" s="1"/>
      <c r="E1" s="1"/>
      <c r="F1" s="1"/>
      <c r="G1" s="1"/>
      <c r="H1" s="1"/>
      <c r="I1" s="1"/>
      <c r="J1" s="1"/>
      <c r="K1" s="1"/>
    </row>
    <row r="2" customFormat="false" ht="42" hidden="false" customHeight="true" outlineLevel="0" collapsed="false">
      <c r="A2" s="2" t="s">
        <v>1</v>
      </c>
      <c r="B2" s="2"/>
      <c r="C2" s="2"/>
      <c r="D2" s="2"/>
      <c r="E2" s="2"/>
      <c r="F2" s="2"/>
      <c r="G2" s="2"/>
      <c r="H2" s="2"/>
      <c r="I2" s="2"/>
      <c r="J2" s="2"/>
      <c r="K2" s="2"/>
    </row>
    <row r="4" customFormat="false" ht="15" hidden="false" customHeight="false" outlineLevel="0" collapsed="false">
      <c r="A4" s="3" t="s">
        <v>2</v>
      </c>
    </row>
    <row r="5" customFormat="false" ht="19.5" hidden="false" customHeight="true" outlineLevel="0" collapsed="false">
      <c r="A5" s="4" t="s">
        <v>3</v>
      </c>
      <c r="B5" s="5" t="s">
        <v>4</v>
      </c>
      <c r="C5" s="5"/>
      <c r="D5" s="5"/>
      <c r="E5" s="5"/>
      <c r="F5" s="5"/>
      <c r="G5" s="5"/>
      <c r="H5" s="5"/>
      <c r="I5" s="5"/>
      <c r="J5" s="5"/>
      <c r="K5" s="5"/>
    </row>
    <row r="6" customFormat="false" ht="19.5" hidden="false" customHeight="true" outlineLevel="0" collapsed="false">
      <c r="A6" s="6" t="s">
        <v>5</v>
      </c>
      <c r="B6" s="5" t="s">
        <v>6</v>
      </c>
      <c r="C6" s="5"/>
      <c r="D6" s="5"/>
      <c r="E6" s="5"/>
      <c r="F6" s="5"/>
      <c r="G6" s="5"/>
      <c r="H6" s="5"/>
      <c r="I6" s="5"/>
      <c r="J6" s="5"/>
      <c r="K6" s="5"/>
    </row>
    <row r="7" customFormat="false" ht="19.5" hidden="false" customHeight="true" outlineLevel="0" collapsed="false">
      <c r="A7" s="7" t="s">
        <v>7</v>
      </c>
      <c r="B7" s="5" t="s">
        <v>8</v>
      </c>
      <c r="C7" s="5"/>
      <c r="D7" s="5"/>
      <c r="E7" s="5"/>
      <c r="F7" s="5"/>
      <c r="G7" s="5"/>
      <c r="H7" s="5"/>
      <c r="I7" s="5"/>
      <c r="J7" s="5"/>
      <c r="K7" s="5"/>
    </row>
    <row r="9" customFormat="false" ht="15" hidden="false" customHeight="false" outlineLevel="0" collapsed="false">
      <c r="A9" s="3" t="s">
        <v>9</v>
      </c>
    </row>
    <row r="10" customFormat="false" ht="21.75" hidden="false" customHeight="true" outlineLevel="0" collapsed="false">
      <c r="A10" s="4" t="s">
        <v>10</v>
      </c>
      <c r="B10" s="5" t="s">
        <v>11</v>
      </c>
      <c r="C10" s="5"/>
      <c r="D10" s="5"/>
      <c r="E10" s="5"/>
      <c r="F10" s="5"/>
      <c r="G10" s="5"/>
      <c r="H10" s="5"/>
      <c r="I10" s="5"/>
      <c r="J10" s="5"/>
      <c r="K10" s="5"/>
    </row>
    <row r="11" customFormat="false" ht="21.75" hidden="false" customHeight="true" outlineLevel="0" collapsed="false">
      <c r="A11" s="6" t="s">
        <v>12</v>
      </c>
      <c r="B11" s="5" t="s">
        <v>13</v>
      </c>
      <c r="C11" s="5"/>
      <c r="D11" s="5"/>
      <c r="E11" s="5"/>
      <c r="F11" s="5"/>
      <c r="G11" s="5"/>
      <c r="H11" s="5"/>
      <c r="I11" s="5"/>
      <c r="J11" s="5"/>
      <c r="K11" s="5"/>
    </row>
    <row r="12" customFormat="false" ht="21.75" hidden="false" customHeight="true" outlineLevel="0" collapsed="false">
      <c r="A12" s="8" t="s">
        <v>14</v>
      </c>
      <c r="B12" s="5" t="s">
        <v>15</v>
      </c>
      <c r="C12" s="5"/>
      <c r="D12" s="5"/>
      <c r="E12" s="5"/>
      <c r="F12" s="5"/>
      <c r="G12" s="5"/>
      <c r="H12" s="5"/>
      <c r="I12" s="5"/>
      <c r="J12" s="5"/>
      <c r="K12" s="5"/>
    </row>
    <row r="14" customFormat="false" ht="15" hidden="false" customHeight="false" outlineLevel="0" collapsed="false">
      <c r="A14" s="3" t="s">
        <v>16</v>
      </c>
    </row>
    <row r="15" customFormat="false" ht="33.75" hidden="false" customHeight="true" outlineLevel="0" collapsed="false">
      <c r="A15" s="9" t="s">
        <v>17</v>
      </c>
      <c r="B15" s="9" t="s">
        <v>18</v>
      </c>
      <c r="C15" s="10" t="s">
        <v>19</v>
      </c>
      <c r="D15" s="10" t="s">
        <v>20</v>
      </c>
      <c r="E15" s="10" t="s">
        <v>21</v>
      </c>
      <c r="F15" s="10" t="s">
        <v>22</v>
      </c>
      <c r="G15" s="10" t="s">
        <v>23</v>
      </c>
      <c r="H15" s="10" t="s">
        <v>24</v>
      </c>
      <c r="I15" s="10" t="s">
        <v>25</v>
      </c>
      <c r="J15" s="10" t="s">
        <v>26</v>
      </c>
      <c r="K15" s="10" t="s">
        <v>27</v>
      </c>
    </row>
    <row r="16" customFormat="false" ht="30" hidden="false" customHeight="true" outlineLevel="0" collapsed="false">
      <c r="A16" s="11" t="s">
        <v>28</v>
      </c>
      <c r="B16" s="12" t="s">
        <v>29</v>
      </c>
      <c r="C16" s="12" t="s">
        <v>30</v>
      </c>
      <c r="D16" s="11" t="s">
        <v>31</v>
      </c>
      <c r="E16" s="13" t="s">
        <v>12</v>
      </c>
      <c r="F16" s="14" t="s">
        <v>3</v>
      </c>
      <c r="G16" s="15" t="n">
        <v>0</v>
      </c>
      <c r="H16" s="15" t="n">
        <v>0</v>
      </c>
      <c r="I16" s="16" t="n">
        <f aca="false">G16*INDEX('Time &amp; Cost Summary'!$B$6:$B$15,MATCH(D16,'Time &amp; Cost Summary'!$A$6:$A$15,0))</f>
        <v>0</v>
      </c>
      <c r="J16" s="16" t="n">
        <f aca="false">H16*INDEX('Time &amp; Cost Summary'!$B$6:$B$15,MATCH(D16,'Time &amp; Cost Summary'!$A$6:$A$15,0))</f>
        <v>0</v>
      </c>
      <c r="K16" s="17" t="n">
        <f aca="false">I16-J16</f>
        <v>0</v>
      </c>
    </row>
    <row r="17" customFormat="false" ht="30" hidden="false" customHeight="true" outlineLevel="0" collapsed="false">
      <c r="A17" s="11" t="s">
        <v>32</v>
      </c>
      <c r="B17" s="12" t="s">
        <v>29</v>
      </c>
      <c r="C17" s="12" t="s">
        <v>33</v>
      </c>
      <c r="D17" s="11" t="s">
        <v>34</v>
      </c>
      <c r="E17" s="13" t="s">
        <v>12</v>
      </c>
      <c r="F17" s="14" t="s">
        <v>3</v>
      </c>
      <c r="G17" s="15" t="n">
        <v>0</v>
      </c>
      <c r="H17" s="15" t="n">
        <v>0</v>
      </c>
      <c r="I17" s="16" t="n">
        <f aca="false">G17*INDEX('Time &amp; Cost Summary'!$B$6:$B$15,MATCH(D17,'Time &amp; Cost Summary'!$A$6:$A$15,0))</f>
        <v>0</v>
      </c>
      <c r="J17" s="16" t="n">
        <f aca="false">H17*INDEX('Time &amp; Cost Summary'!$B$6:$B$15,MATCH(D17,'Time &amp; Cost Summary'!$A$6:$A$15,0))</f>
        <v>0</v>
      </c>
      <c r="K17" s="17" t="n">
        <f aca="false">I17-J17</f>
        <v>0</v>
      </c>
    </row>
    <row r="18" customFormat="false" ht="30" hidden="false" customHeight="true" outlineLevel="0" collapsed="false">
      <c r="A18" s="11" t="s">
        <v>35</v>
      </c>
      <c r="B18" s="12" t="s">
        <v>29</v>
      </c>
      <c r="C18" s="12" t="s">
        <v>36</v>
      </c>
      <c r="D18" s="11" t="s">
        <v>37</v>
      </c>
      <c r="E18" s="14" t="s">
        <v>10</v>
      </c>
      <c r="F18" s="14" t="s">
        <v>3</v>
      </c>
      <c r="G18" s="15" t="n">
        <v>0</v>
      </c>
      <c r="H18" s="15" t="n">
        <v>0</v>
      </c>
      <c r="I18" s="16" t="n">
        <f aca="false">G18*INDEX('Time &amp; Cost Summary'!$B$6:$B$15,MATCH(D18,'Time &amp; Cost Summary'!$A$6:$A$15,0))</f>
        <v>0</v>
      </c>
      <c r="J18" s="16" t="n">
        <f aca="false">H18*INDEX('Time &amp; Cost Summary'!$B$6:$B$15,MATCH(D18,'Time &amp; Cost Summary'!$A$6:$A$15,0))</f>
        <v>0</v>
      </c>
      <c r="K18" s="17" t="n">
        <f aca="false">I18-J18</f>
        <v>0</v>
      </c>
    </row>
    <row r="19" customFormat="false" ht="30" hidden="false" customHeight="true" outlineLevel="0" collapsed="false">
      <c r="A19" s="11" t="s">
        <v>38</v>
      </c>
      <c r="B19" s="12" t="s">
        <v>29</v>
      </c>
      <c r="C19" s="12" t="s">
        <v>39</v>
      </c>
      <c r="D19" s="11" t="s">
        <v>40</v>
      </c>
      <c r="E19" s="14" t="s">
        <v>10</v>
      </c>
      <c r="F19" s="14" t="s">
        <v>3</v>
      </c>
      <c r="G19" s="15" t="n">
        <v>0</v>
      </c>
      <c r="H19" s="15" t="n">
        <v>0</v>
      </c>
      <c r="I19" s="16" t="n">
        <f aca="false">G19*INDEX('Time &amp; Cost Summary'!$B$6:$B$15,MATCH(D19,'Time &amp; Cost Summary'!$A$6:$A$15,0))</f>
        <v>0</v>
      </c>
      <c r="J19" s="16" t="n">
        <f aca="false">H19*INDEX('Time &amp; Cost Summary'!$B$6:$B$15,MATCH(D19,'Time &amp; Cost Summary'!$A$6:$A$15,0))</f>
        <v>0</v>
      </c>
      <c r="K19" s="17" t="n">
        <f aca="false">I19-J19</f>
        <v>0</v>
      </c>
    </row>
    <row r="20" customFormat="false" ht="30" hidden="false" customHeight="true" outlineLevel="0" collapsed="false">
      <c r="A20" s="11" t="s">
        <v>41</v>
      </c>
      <c r="B20" s="12" t="s">
        <v>29</v>
      </c>
      <c r="C20" s="12" t="s">
        <v>42</v>
      </c>
      <c r="D20" s="11" t="s">
        <v>43</v>
      </c>
      <c r="E20" s="18" t="s">
        <v>14</v>
      </c>
      <c r="F20" s="19" t="s">
        <v>7</v>
      </c>
      <c r="G20" s="15" t="n">
        <v>2</v>
      </c>
      <c r="H20" s="15" t="n">
        <v>1.5</v>
      </c>
      <c r="I20" s="16" t="n">
        <f aca="false">G20*INDEX('Time &amp; Cost Summary'!$B$6:$B$15,MATCH(D20,'Time &amp; Cost Summary'!$A$6:$A$15,0))</f>
        <v>2600</v>
      </c>
      <c r="J20" s="16" t="n">
        <f aca="false">H20*INDEX('Time &amp; Cost Summary'!$B$6:$B$15,MATCH(D20,'Time &amp; Cost Summary'!$A$6:$A$15,0))</f>
        <v>1950</v>
      </c>
      <c r="K20" s="17" t="n">
        <f aca="false">I20-J20</f>
        <v>650</v>
      </c>
    </row>
    <row r="21" customFormat="false" ht="30" hidden="false" customHeight="true" outlineLevel="0" collapsed="false">
      <c r="A21" s="11" t="s">
        <v>44</v>
      </c>
      <c r="B21" s="12" t="s">
        <v>29</v>
      </c>
      <c r="C21" s="12" t="s">
        <v>45</v>
      </c>
      <c r="D21" s="11" t="s">
        <v>34</v>
      </c>
      <c r="E21" s="14" t="s">
        <v>10</v>
      </c>
      <c r="F21" s="14" t="s">
        <v>3</v>
      </c>
      <c r="G21" s="15" t="n">
        <v>0</v>
      </c>
      <c r="H21" s="15" t="n">
        <v>0</v>
      </c>
      <c r="I21" s="16" t="n">
        <f aca="false">G21*INDEX('Time &amp; Cost Summary'!$B$6:$B$15,MATCH(D21,'Time &amp; Cost Summary'!$A$6:$A$15,0))</f>
        <v>0</v>
      </c>
      <c r="J21" s="16" t="n">
        <f aca="false">H21*INDEX('Time &amp; Cost Summary'!$B$6:$B$15,MATCH(D21,'Time &amp; Cost Summary'!$A$6:$A$15,0))</f>
        <v>0</v>
      </c>
      <c r="K21" s="17" t="n">
        <f aca="false">I21-J21</f>
        <v>0</v>
      </c>
    </row>
    <row r="22" customFormat="false" ht="30" hidden="false" customHeight="true" outlineLevel="0" collapsed="false">
      <c r="A22" s="11" t="s">
        <v>46</v>
      </c>
      <c r="B22" s="12" t="s">
        <v>47</v>
      </c>
      <c r="C22" s="12" t="s">
        <v>48</v>
      </c>
      <c r="D22" s="11" t="s">
        <v>49</v>
      </c>
      <c r="E22" s="14" t="s">
        <v>10</v>
      </c>
      <c r="F22" s="14" t="s">
        <v>3</v>
      </c>
      <c r="G22" s="15" t="n">
        <v>0</v>
      </c>
      <c r="H22" s="15" t="n">
        <v>0</v>
      </c>
      <c r="I22" s="16" t="n">
        <f aca="false">G22*INDEX('Time &amp; Cost Summary'!$B$6:$B$15,MATCH(D22,'Time &amp; Cost Summary'!$A$6:$A$15,0))</f>
        <v>0</v>
      </c>
      <c r="J22" s="16" t="n">
        <f aca="false">H22*INDEX('Time &amp; Cost Summary'!$B$6:$B$15,MATCH(D22,'Time &amp; Cost Summary'!$A$6:$A$15,0))</f>
        <v>0</v>
      </c>
      <c r="K22" s="17" t="n">
        <f aca="false">I22-J22</f>
        <v>0</v>
      </c>
    </row>
    <row r="23" customFormat="false" ht="30" hidden="false" customHeight="true" outlineLevel="0" collapsed="false">
      <c r="A23" s="11" t="s">
        <v>50</v>
      </c>
      <c r="B23" s="12" t="s">
        <v>47</v>
      </c>
      <c r="C23" s="12" t="s">
        <v>51</v>
      </c>
      <c r="D23" s="11" t="s">
        <v>52</v>
      </c>
      <c r="E23" s="14" t="s">
        <v>10</v>
      </c>
      <c r="F23" s="14" t="s">
        <v>3</v>
      </c>
      <c r="G23" s="15" t="n">
        <v>0</v>
      </c>
      <c r="H23" s="15" t="n">
        <v>0</v>
      </c>
      <c r="I23" s="16" t="n">
        <f aca="false">G23*INDEX('Time &amp; Cost Summary'!$B$6:$B$15,MATCH(D23,'Time &amp; Cost Summary'!$A$6:$A$15,0))</f>
        <v>0</v>
      </c>
      <c r="J23" s="16" t="n">
        <f aca="false">H23*INDEX('Time &amp; Cost Summary'!$B$6:$B$15,MATCH(D23,'Time &amp; Cost Summary'!$A$6:$A$15,0))</f>
        <v>0</v>
      </c>
      <c r="K23" s="17" t="n">
        <f aca="false">I23-J23</f>
        <v>0</v>
      </c>
    </row>
    <row r="24" customFormat="false" ht="30" hidden="false" customHeight="true" outlineLevel="0" collapsed="false">
      <c r="A24" s="11" t="s">
        <v>53</v>
      </c>
      <c r="B24" s="12" t="s">
        <v>47</v>
      </c>
      <c r="C24" s="12" t="s">
        <v>54</v>
      </c>
      <c r="D24" s="11" t="s">
        <v>52</v>
      </c>
      <c r="E24" s="14" t="s">
        <v>10</v>
      </c>
      <c r="F24" s="14" t="s">
        <v>3</v>
      </c>
      <c r="G24" s="15" t="n">
        <v>0</v>
      </c>
      <c r="H24" s="15" t="n">
        <v>0</v>
      </c>
      <c r="I24" s="16" t="n">
        <f aca="false">G24*INDEX('Time &amp; Cost Summary'!$B$6:$B$15,MATCH(D24,'Time &amp; Cost Summary'!$A$6:$A$15,0))</f>
        <v>0</v>
      </c>
      <c r="J24" s="16" t="n">
        <f aca="false">H24*INDEX('Time &amp; Cost Summary'!$B$6:$B$15,MATCH(D24,'Time &amp; Cost Summary'!$A$6:$A$15,0))</f>
        <v>0</v>
      </c>
      <c r="K24" s="17" t="n">
        <f aca="false">I24-J24</f>
        <v>0</v>
      </c>
    </row>
    <row r="25" customFormat="false" ht="30" hidden="false" customHeight="true" outlineLevel="0" collapsed="false">
      <c r="A25" s="11" t="s">
        <v>55</v>
      </c>
      <c r="B25" s="12" t="s">
        <v>47</v>
      </c>
      <c r="C25" s="12" t="s">
        <v>56</v>
      </c>
      <c r="D25" s="11" t="s">
        <v>40</v>
      </c>
      <c r="E25" s="14" t="s">
        <v>10</v>
      </c>
      <c r="F25" s="14" t="s">
        <v>3</v>
      </c>
      <c r="G25" s="15" t="n">
        <v>0</v>
      </c>
      <c r="H25" s="15" t="n">
        <v>0</v>
      </c>
      <c r="I25" s="16" t="n">
        <f aca="false">G25*INDEX('Time &amp; Cost Summary'!$B$6:$B$15,MATCH(D25,'Time &amp; Cost Summary'!$A$6:$A$15,0))</f>
        <v>0</v>
      </c>
      <c r="J25" s="16" t="n">
        <f aca="false">H25*INDEX('Time &amp; Cost Summary'!$B$6:$B$15,MATCH(D25,'Time &amp; Cost Summary'!$A$6:$A$15,0))</f>
        <v>0</v>
      </c>
      <c r="K25" s="17" t="n">
        <f aca="false">I25-J25</f>
        <v>0</v>
      </c>
    </row>
    <row r="26" customFormat="false" ht="30" hidden="false" customHeight="true" outlineLevel="0" collapsed="false">
      <c r="A26" s="11" t="s">
        <v>57</v>
      </c>
      <c r="B26" s="12" t="s">
        <v>58</v>
      </c>
      <c r="C26" s="12" t="s">
        <v>59</v>
      </c>
      <c r="D26" s="11" t="s">
        <v>37</v>
      </c>
      <c r="E26" s="14" t="s">
        <v>10</v>
      </c>
      <c r="F26" s="14" t="s">
        <v>3</v>
      </c>
      <c r="G26" s="15" t="n">
        <v>0</v>
      </c>
      <c r="H26" s="15" t="n">
        <v>0</v>
      </c>
      <c r="I26" s="16" t="n">
        <f aca="false">G26*INDEX('Time &amp; Cost Summary'!$B$6:$B$15,MATCH(D26,'Time &amp; Cost Summary'!$A$6:$A$15,0))</f>
        <v>0</v>
      </c>
      <c r="J26" s="16" t="n">
        <f aca="false">H26*INDEX('Time &amp; Cost Summary'!$B$6:$B$15,MATCH(D26,'Time &amp; Cost Summary'!$A$6:$A$15,0))</f>
        <v>0</v>
      </c>
      <c r="K26" s="17" t="n">
        <f aca="false">I26-J26</f>
        <v>0</v>
      </c>
    </row>
    <row r="27" customFormat="false" ht="30" hidden="false" customHeight="true" outlineLevel="0" collapsed="false">
      <c r="A27" s="11" t="s">
        <v>60</v>
      </c>
      <c r="B27" s="12" t="s">
        <v>58</v>
      </c>
      <c r="C27" s="12" t="s">
        <v>61</v>
      </c>
      <c r="D27" s="11" t="s">
        <v>40</v>
      </c>
      <c r="E27" s="14" t="s">
        <v>10</v>
      </c>
      <c r="F27" s="14" t="s">
        <v>3</v>
      </c>
      <c r="G27" s="15" t="n">
        <v>0</v>
      </c>
      <c r="H27" s="15" t="n">
        <v>0</v>
      </c>
      <c r="I27" s="16" t="n">
        <f aca="false">G27*INDEX('Time &amp; Cost Summary'!$B$6:$B$15,MATCH(D27,'Time &amp; Cost Summary'!$A$6:$A$15,0))</f>
        <v>0</v>
      </c>
      <c r="J27" s="16" t="n">
        <f aca="false">H27*INDEX('Time &amp; Cost Summary'!$B$6:$B$15,MATCH(D27,'Time &amp; Cost Summary'!$A$6:$A$15,0))</f>
        <v>0</v>
      </c>
      <c r="K27" s="17" t="n">
        <f aca="false">I27-J27</f>
        <v>0</v>
      </c>
    </row>
    <row r="28" customFormat="false" ht="30" hidden="false" customHeight="true" outlineLevel="0" collapsed="false">
      <c r="A28" s="11" t="s">
        <v>62</v>
      </c>
      <c r="B28" s="12" t="s">
        <v>63</v>
      </c>
      <c r="C28" s="12" t="s">
        <v>64</v>
      </c>
      <c r="D28" s="11" t="s">
        <v>52</v>
      </c>
      <c r="E28" s="13" t="s">
        <v>12</v>
      </c>
      <c r="F28" s="19" t="s">
        <v>7</v>
      </c>
      <c r="G28" s="15" t="n">
        <v>5</v>
      </c>
      <c r="H28" s="15" t="n">
        <v>2.5</v>
      </c>
      <c r="I28" s="16" t="n">
        <f aca="false">G28*INDEX('Time &amp; Cost Summary'!$B$6:$B$15,MATCH(D28,'Time &amp; Cost Summary'!$A$6:$A$15,0))</f>
        <v>5500</v>
      </c>
      <c r="J28" s="16" t="n">
        <f aca="false">H28*INDEX('Time &amp; Cost Summary'!$B$6:$B$15,MATCH(D28,'Time &amp; Cost Summary'!$A$6:$A$15,0))</f>
        <v>2750</v>
      </c>
      <c r="K28" s="17" t="n">
        <f aca="false">I28-J28</f>
        <v>2750</v>
      </c>
    </row>
    <row r="29" customFormat="false" ht="30" hidden="false" customHeight="true" outlineLevel="0" collapsed="false">
      <c r="A29" s="11" t="s">
        <v>65</v>
      </c>
      <c r="B29" s="12" t="s">
        <v>63</v>
      </c>
      <c r="C29" s="12" t="s">
        <v>66</v>
      </c>
      <c r="D29" s="11" t="s">
        <v>40</v>
      </c>
      <c r="E29" s="14" t="s">
        <v>10</v>
      </c>
      <c r="F29" s="19" t="s">
        <v>7</v>
      </c>
      <c r="G29" s="15" t="n">
        <v>3</v>
      </c>
      <c r="H29" s="15" t="n">
        <v>1</v>
      </c>
      <c r="I29" s="16" t="n">
        <f aca="false">G29*INDEX('Time &amp; Cost Summary'!$B$6:$B$15,MATCH(D29,'Time &amp; Cost Summary'!$A$6:$A$15,0))</f>
        <v>2700</v>
      </c>
      <c r="J29" s="16" t="n">
        <f aca="false">H29*INDEX('Time &amp; Cost Summary'!$B$6:$B$15,MATCH(D29,'Time &amp; Cost Summary'!$A$6:$A$15,0))</f>
        <v>900</v>
      </c>
      <c r="K29" s="17" t="n">
        <f aca="false">I29-J29</f>
        <v>1800</v>
      </c>
    </row>
    <row r="30" customFormat="false" ht="30" hidden="false" customHeight="true" outlineLevel="0" collapsed="false">
      <c r="A30" s="11" t="s">
        <v>67</v>
      </c>
      <c r="B30" s="12" t="s">
        <v>63</v>
      </c>
      <c r="C30" s="12" t="s">
        <v>68</v>
      </c>
      <c r="D30" s="11" t="s">
        <v>52</v>
      </c>
      <c r="E30" s="14" t="s">
        <v>10</v>
      </c>
      <c r="F30" s="19" t="s">
        <v>7</v>
      </c>
      <c r="G30" s="15" t="n">
        <v>2</v>
      </c>
      <c r="H30" s="15" t="n">
        <v>0.5</v>
      </c>
      <c r="I30" s="16" t="n">
        <f aca="false">G30*INDEX('Time &amp; Cost Summary'!$B$6:$B$15,MATCH(D30,'Time &amp; Cost Summary'!$A$6:$A$15,0))</f>
        <v>2200</v>
      </c>
      <c r="J30" s="16" t="n">
        <f aca="false">H30*INDEX('Time &amp; Cost Summary'!$B$6:$B$15,MATCH(D30,'Time &amp; Cost Summary'!$A$6:$A$15,0))</f>
        <v>550</v>
      </c>
      <c r="K30" s="17" t="n">
        <f aca="false">I30-J30</f>
        <v>1650</v>
      </c>
    </row>
    <row r="31" customFormat="false" ht="30" hidden="false" customHeight="true" outlineLevel="0" collapsed="false">
      <c r="A31" s="11" t="s">
        <v>69</v>
      </c>
      <c r="B31" s="12" t="s">
        <v>70</v>
      </c>
      <c r="C31" s="12" t="s">
        <v>71</v>
      </c>
      <c r="D31" s="11" t="s">
        <v>34</v>
      </c>
      <c r="E31" s="14" t="s">
        <v>10</v>
      </c>
      <c r="F31" s="19" t="s">
        <v>7</v>
      </c>
      <c r="G31" s="15" t="n">
        <v>5</v>
      </c>
      <c r="H31" s="15" t="n">
        <v>1.5</v>
      </c>
      <c r="I31" s="16" t="n">
        <f aca="false">G31*INDEX('Time &amp; Cost Summary'!$B$6:$B$15,MATCH(D31,'Time &amp; Cost Summary'!$A$6:$A$15,0))</f>
        <v>5500</v>
      </c>
      <c r="J31" s="16" t="n">
        <f aca="false">H31*INDEX('Time &amp; Cost Summary'!$B$6:$B$15,MATCH(D31,'Time &amp; Cost Summary'!$A$6:$A$15,0))</f>
        <v>1650</v>
      </c>
      <c r="K31" s="17" t="n">
        <f aca="false">I31-J31</f>
        <v>3850</v>
      </c>
    </row>
    <row r="32" customFormat="false" ht="30" hidden="false" customHeight="true" outlineLevel="0" collapsed="false">
      <c r="A32" s="11" t="s">
        <v>72</v>
      </c>
      <c r="B32" s="12" t="s">
        <v>70</v>
      </c>
      <c r="C32" s="12" t="s">
        <v>73</v>
      </c>
      <c r="D32" s="11" t="s">
        <v>37</v>
      </c>
      <c r="E32" s="14" t="s">
        <v>10</v>
      </c>
      <c r="F32" s="19" t="s">
        <v>7</v>
      </c>
      <c r="G32" s="15" t="n">
        <v>4</v>
      </c>
      <c r="H32" s="15" t="n">
        <v>1</v>
      </c>
      <c r="I32" s="16" t="n">
        <f aca="false">G32*INDEX('Time &amp; Cost Summary'!$B$6:$B$15,MATCH(D32,'Time &amp; Cost Summary'!$A$6:$A$15,0))</f>
        <v>4400</v>
      </c>
      <c r="J32" s="16" t="n">
        <f aca="false">H32*INDEX('Time &amp; Cost Summary'!$B$6:$B$15,MATCH(D32,'Time &amp; Cost Summary'!$A$6:$A$15,0))</f>
        <v>1100</v>
      </c>
      <c r="K32" s="17" t="n">
        <f aca="false">I32-J32</f>
        <v>3300</v>
      </c>
    </row>
    <row r="33" customFormat="false" ht="30" hidden="false" customHeight="true" outlineLevel="0" collapsed="false">
      <c r="A33" s="11" t="s">
        <v>74</v>
      </c>
      <c r="B33" s="12" t="s">
        <v>70</v>
      </c>
      <c r="C33" s="12" t="s">
        <v>75</v>
      </c>
      <c r="D33" s="11" t="s">
        <v>49</v>
      </c>
      <c r="E33" s="14" t="s">
        <v>10</v>
      </c>
      <c r="F33" s="19" t="s">
        <v>7</v>
      </c>
      <c r="G33" s="15" t="n">
        <v>4</v>
      </c>
      <c r="H33" s="15" t="n">
        <v>1</v>
      </c>
      <c r="I33" s="16" t="n">
        <f aca="false">G33*INDEX('Time &amp; Cost Summary'!$B$6:$B$15,MATCH(D33,'Time &amp; Cost Summary'!$A$6:$A$15,0))</f>
        <v>4000</v>
      </c>
      <c r="J33" s="16" t="n">
        <f aca="false">H33*INDEX('Time &amp; Cost Summary'!$B$6:$B$15,MATCH(D33,'Time &amp; Cost Summary'!$A$6:$A$15,0))</f>
        <v>1000</v>
      </c>
      <c r="K33" s="17" t="n">
        <f aca="false">I33-J33</f>
        <v>3000</v>
      </c>
    </row>
    <row r="34" customFormat="false" ht="30" hidden="false" customHeight="true" outlineLevel="0" collapsed="false">
      <c r="A34" s="11" t="s">
        <v>76</v>
      </c>
      <c r="B34" s="12" t="s">
        <v>70</v>
      </c>
      <c r="C34" s="12" t="s">
        <v>77</v>
      </c>
      <c r="D34" s="11" t="s">
        <v>40</v>
      </c>
      <c r="E34" s="14" t="s">
        <v>10</v>
      </c>
      <c r="F34" s="19" t="s">
        <v>7</v>
      </c>
      <c r="G34" s="15" t="n">
        <v>3</v>
      </c>
      <c r="H34" s="15" t="n">
        <v>1</v>
      </c>
      <c r="I34" s="16" t="n">
        <f aca="false">G34*INDEX('Time &amp; Cost Summary'!$B$6:$B$15,MATCH(D34,'Time &amp; Cost Summary'!$A$6:$A$15,0))</f>
        <v>2700</v>
      </c>
      <c r="J34" s="16" t="n">
        <f aca="false">H34*INDEX('Time &amp; Cost Summary'!$B$6:$B$15,MATCH(D34,'Time &amp; Cost Summary'!$A$6:$A$15,0))</f>
        <v>900</v>
      </c>
      <c r="K34" s="17" t="n">
        <f aca="false">I34-J34</f>
        <v>1800</v>
      </c>
    </row>
    <row r="35" customFormat="false" ht="30" hidden="false" customHeight="true" outlineLevel="0" collapsed="false">
      <c r="A35" s="11" t="s">
        <v>78</v>
      </c>
      <c r="B35" s="12" t="s">
        <v>79</v>
      </c>
      <c r="C35" s="12" t="s">
        <v>80</v>
      </c>
      <c r="D35" s="11" t="s">
        <v>49</v>
      </c>
      <c r="E35" s="14" t="s">
        <v>10</v>
      </c>
      <c r="F35" s="14" t="s">
        <v>3</v>
      </c>
      <c r="G35" s="15" t="n">
        <v>0</v>
      </c>
      <c r="H35" s="15" t="n">
        <v>0</v>
      </c>
      <c r="I35" s="16" t="n">
        <f aca="false">G35*INDEX('Time &amp; Cost Summary'!$B$6:$B$15,MATCH(D35,'Time &amp; Cost Summary'!$A$6:$A$15,0))</f>
        <v>0</v>
      </c>
      <c r="J35" s="16" t="n">
        <f aca="false">H35*INDEX('Time &amp; Cost Summary'!$B$6:$B$15,MATCH(D35,'Time &amp; Cost Summary'!$A$6:$A$15,0))</f>
        <v>0</v>
      </c>
      <c r="K35" s="17" t="n">
        <f aca="false">I35-J35</f>
        <v>0</v>
      </c>
    </row>
    <row r="36" customFormat="false" ht="30" hidden="false" customHeight="true" outlineLevel="0" collapsed="false">
      <c r="A36" s="11" t="s">
        <v>81</v>
      </c>
      <c r="B36" s="12" t="s">
        <v>79</v>
      </c>
      <c r="C36" s="12" t="s">
        <v>82</v>
      </c>
      <c r="D36" s="11" t="s">
        <v>31</v>
      </c>
      <c r="E36" s="13" t="s">
        <v>12</v>
      </c>
      <c r="F36" s="14" t="s">
        <v>3</v>
      </c>
      <c r="G36" s="15" t="n">
        <v>0</v>
      </c>
      <c r="H36" s="15" t="n">
        <v>0</v>
      </c>
      <c r="I36" s="16" t="n">
        <f aca="false">G36*INDEX('Time &amp; Cost Summary'!$B$6:$B$15,MATCH(D36,'Time &amp; Cost Summary'!$A$6:$A$15,0))</f>
        <v>0</v>
      </c>
      <c r="J36" s="16" t="n">
        <f aca="false">H36*INDEX('Time &amp; Cost Summary'!$B$6:$B$15,MATCH(D36,'Time &amp; Cost Summary'!$A$6:$A$15,0))</f>
        <v>0</v>
      </c>
      <c r="K36" s="17" t="n">
        <f aca="false">I36-J36</f>
        <v>0</v>
      </c>
    </row>
    <row r="37" customFormat="false" ht="30" hidden="false" customHeight="true" outlineLevel="0" collapsed="false">
      <c r="A37" s="11" t="s">
        <v>83</v>
      </c>
      <c r="B37" s="12" t="s">
        <v>79</v>
      </c>
      <c r="C37" s="12" t="s">
        <v>84</v>
      </c>
      <c r="D37" s="11" t="s">
        <v>40</v>
      </c>
      <c r="E37" s="14" t="s">
        <v>10</v>
      </c>
      <c r="F37" s="14" t="s">
        <v>3</v>
      </c>
      <c r="G37" s="15" t="n">
        <v>0</v>
      </c>
      <c r="H37" s="15" t="n">
        <v>0</v>
      </c>
      <c r="I37" s="16" t="n">
        <f aca="false">G37*INDEX('Time &amp; Cost Summary'!$B$6:$B$15,MATCH(D37,'Time &amp; Cost Summary'!$A$6:$A$15,0))</f>
        <v>0</v>
      </c>
      <c r="J37" s="16" t="n">
        <f aca="false">H37*INDEX('Time &amp; Cost Summary'!$B$6:$B$15,MATCH(D37,'Time &amp; Cost Summary'!$A$6:$A$15,0))</f>
        <v>0</v>
      </c>
      <c r="K37" s="17" t="n">
        <f aca="false">I37-J37</f>
        <v>0</v>
      </c>
    </row>
    <row r="38" customFormat="false" ht="30" hidden="false" customHeight="true" outlineLevel="0" collapsed="false">
      <c r="A38" s="11" t="s">
        <v>85</v>
      </c>
      <c r="B38" s="12" t="s">
        <v>86</v>
      </c>
      <c r="C38" s="12" t="s">
        <v>87</v>
      </c>
      <c r="D38" s="11" t="s">
        <v>40</v>
      </c>
      <c r="E38" s="14" t="s">
        <v>10</v>
      </c>
      <c r="F38" s="13" t="s">
        <v>5</v>
      </c>
      <c r="G38" s="15" t="n">
        <v>3.5</v>
      </c>
      <c r="H38" s="15" t="n">
        <v>1</v>
      </c>
      <c r="I38" s="16" t="n">
        <f aca="false">G38*INDEX('Time &amp; Cost Summary'!$B$6:$B$15,MATCH(D38,'Time &amp; Cost Summary'!$A$6:$A$15,0))</f>
        <v>3150</v>
      </c>
      <c r="J38" s="16" t="n">
        <f aca="false">H38*INDEX('Time &amp; Cost Summary'!$B$6:$B$15,MATCH(D38,'Time &amp; Cost Summary'!$A$6:$A$15,0))</f>
        <v>900</v>
      </c>
      <c r="K38" s="17" t="n">
        <f aca="false">I38-J38</f>
        <v>2250</v>
      </c>
    </row>
    <row r="39" customFormat="false" ht="30" hidden="false" customHeight="true" outlineLevel="0" collapsed="false">
      <c r="A39" s="11" t="s">
        <v>88</v>
      </c>
      <c r="B39" s="12" t="s">
        <v>89</v>
      </c>
      <c r="C39" s="12" t="s">
        <v>90</v>
      </c>
      <c r="D39" s="11" t="s">
        <v>37</v>
      </c>
      <c r="E39" s="13" t="s">
        <v>12</v>
      </c>
      <c r="F39" s="19" t="s">
        <v>7</v>
      </c>
      <c r="G39" s="15" t="n">
        <v>6</v>
      </c>
      <c r="H39" s="15" t="n">
        <v>3.5</v>
      </c>
      <c r="I39" s="16" t="n">
        <f aca="false">G39*INDEX('Time &amp; Cost Summary'!$B$6:$B$15,MATCH(D39,'Time &amp; Cost Summary'!$A$6:$A$15,0))</f>
        <v>6600</v>
      </c>
      <c r="J39" s="16" t="n">
        <f aca="false">H39*INDEX('Time &amp; Cost Summary'!$B$6:$B$15,MATCH(D39,'Time &amp; Cost Summary'!$A$6:$A$15,0))</f>
        <v>3850</v>
      </c>
      <c r="K39" s="17" t="n">
        <f aca="false">I39-J39</f>
        <v>2750</v>
      </c>
    </row>
    <row r="40" customFormat="false" ht="30" hidden="false" customHeight="true" outlineLevel="0" collapsed="false">
      <c r="A40" s="11" t="s">
        <v>91</v>
      </c>
      <c r="B40" s="12" t="s">
        <v>89</v>
      </c>
      <c r="C40" s="12" t="s">
        <v>92</v>
      </c>
      <c r="D40" s="11" t="s">
        <v>34</v>
      </c>
      <c r="E40" s="13" t="s">
        <v>12</v>
      </c>
      <c r="F40" s="19" t="s">
        <v>7</v>
      </c>
      <c r="G40" s="15" t="n">
        <v>4</v>
      </c>
      <c r="H40" s="15" t="n">
        <v>2</v>
      </c>
      <c r="I40" s="16" t="n">
        <f aca="false">G40*INDEX('Time &amp; Cost Summary'!$B$6:$B$15,MATCH(D40,'Time &amp; Cost Summary'!$A$6:$A$15,0))</f>
        <v>4400</v>
      </c>
      <c r="J40" s="16" t="n">
        <f aca="false">H40*INDEX('Time &amp; Cost Summary'!$B$6:$B$15,MATCH(D40,'Time &amp; Cost Summary'!$A$6:$A$15,0))</f>
        <v>2200</v>
      </c>
      <c r="K40" s="17" t="n">
        <f aca="false">I40-J40</f>
        <v>2200</v>
      </c>
    </row>
    <row r="41" customFormat="false" ht="30" hidden="false" customHeight="true" outlineLevel="0" collapsed="false">
      <c r="A41" s="11" t="s">
        <v>93</v>
      </c>
      <c r="B41" s="12" t="s">
        <v>89</v>
      </c>
      <c r="C41" s="12" t="s">
        <v>94</v>
      </c>
      <c r="D41" s="11" t="s">
        <v>40</v>
      </c>
      <c r="E41" s="14" t="s">
        <v>10</v>
      </c>
      <c r="F41" s="19" t="s">
        <v>7</v>
      </c>
      <c r="G41" s="15" t="n">
        <v>4</v>
      </c>
      <c r="H41" s="15" t="n">
        <v>1</v>
      </c>
      <c r="I41" s="16" t="n">
        <f aca="false">G41*INDEX('Time &amp; Cost Summary'!$B$6:$B$15,MATCH(D41,'Time &amp; Cost Summary'!$A$6:$A$15,0))</f>
        <v>3600</v>
      </c>
      <c r="J41" s="16" t="n">
        <f aca="false">H41*INDEX('Time &amp; Cost Summary'!$B$6:$B$15,MATCH(D41,'Time &amp; Cost Summary'!$A$6:$A$15,0))</f>
        <v>900</v>
      </c>
      <c r="K41" s="17" t="n">
        <f aca="false">I41-J41</f>
        <v>2700</v>
      </c>
    </row>
    <row r="42" customFormat="false" ht="30" hidden="false" customHeight="true" outlineLevel="0" collapsed="false">
      <c r="A42" s="11" t="s">
        <v>95</v>
      </c>
      <c r="B42" s="12" t="s">
        <v>96</v>
      </c>
      <c r="C42" s="12" t="s">
        <v>97</v>
      </c>
      <c r="D42" s="11" t="s">
        <v>31</v>
      </c>
      <c r="E42" s="14" t="s">
        <v>10</v>
      </c>
      <c r="F42" s="19" t="s">
        <v>7</v>
      </c>
      <c r="G42" s="15" t="n">
        <v>2</v>
      </c>
      <c r="H42" s="15" t="n">
        <v>0.5</v>
      </c>
      <c r="I42" s="16" t="n">
        <f aca="false">G42*INDEX('Time &amp; Cost Summary'!$B$6:$B$15,MATCH(D42,'Time &amp; Cost Summary'!$A$6:$A$15,0))</f>
        <v>2900</v>
      </c>
      <c r="J42" s="16" t="n">
        <f aca="false">H42*INDEX('Time &amp; Cost Summary'!$B$6:$B$15,MATCH(D42,'Time &amp; Cost Summary'!$A$6:$A$15,0))</f>
        <v>725</v>
      </c>
      <c r="K42" s="17" t="n">
        <f aca="false">I42-J42</f>
        <v>2175</v>
      </c>
    </row>
    <row r="43" customFormat="false" ht="30" hidden="false" customHeight="true" outlineLevel="0" collapsed="false">
      <c r="A43" s="11" t="s">
        <v>98</v>
      </c>
      <c r="B43" s="12" t="s">
        <v>96</v>
      </c>
      <c r="C43" s="12" t="s">
        <v>99</v>
      </c>
      <c r="D43" s="11" t="s">
        <v>31</v>
      </c>
      <c r="E43" s="14" t="s">
        <v>10</v>
      </c>
      <c r="F43" s="19" t="s">
        <v>7</v>
      </c>
      <c r="G43" s="15" t="n">
        <v>2</v>
      </c>
      <c r="H43" s="15" t="n">
        <v>0.5</v>
      </c>
      <c r="I43" s="16" t="n">
        <f aca="false">G43*INDEX('Time &amp; Cost Summary'!$B$6:$B$15,MATCH(D43,'Time &amp; Cost Summary'!$A$6:$A$15,0))</f>
        <v>2900</v>
      </c>
      <c r="J43" s="16" t="n">
        <f aca="false">H43*INDEX('Time &amp; Cost Summary'!$B$6:$B$15,MATCH(D43,'Time &amp; Cost Summary'!$A$6:$A$15,0))</f>
        <v>725</v>
      </c>
      <c r="K43" s="17" t="n">
        <f aca="false">I43-J43</f>
        <v>2175</v>
      </c>
    </row>
    <row r="45" customFormat="false" ht="15" hidden="false" customHeight="false" outlineLevel="0" collapsed="false">
      <c r="A45" s="3" t="s">
        <v>100</v>
      </c>
    </row>
    <row r="46" customFormat="false" ht="18" hidden="false" customHeight="true" outlineLevel="0" collapsed="false">
      <c r="A46" s="9" t="s">
        <v>17</v>
      </c>
      <c r="B46" s="9" t="s">
        <v>101</v>
      </c>
    </row>
    <row r="47" customFormat="false" ht="25.5" hidden="false" customHeight="true" outlineLevel="0" collapsed="false">
      <c r="A47" s="11" t="s">
        <v>28</v>
      </c>
      <c r="B47" s="20" t="s">
        <v>102</v>
      </c>
    </row>
    <row r="48" customFormat="false" ht="25.5" hidden="false" customHeight="true" outlineLevel="0" collapsed="false">
      <c r="A48" s="11" t="s">
        <v>32</v>
      </c>
      <c r="B48" s="20" t="s">
        <v>103</v>
      </c>
    </row>
    <row r="49" customFormat="false" ht="25.5" hidden="false" customHeight="true" outlineLevel="0" collapsed="false">
      <c r="A49" s="11" t="s">
        <v>35</v>
      </c>
      <c r="B49" s="20" t="s">
        <v>104</v>
      </c>
    </row>
    <row r="50" customFormat="false" ht="25.5" hidden="false" customHeight="true" outlineLevel="0" collapsed="false">
      <c r="A50" s="11" t="s">
        <v>38</v>
      </c>
      <c r="B50" s="20" t="s">
        <v>105</v>
      </c>
    </row>
    <row r="51" customFormat="false" ht="25.5" hidden="false" customHeight="true" outlineLevel="0" collapsed="false">
      <c r="A51" s="11" t="s">
        <v>41</v>
      </c>
      <c r="B51" s="21" t="s">
        <v>106</v>
      </c>
    </row>
    <row r="52" customFormat="false" ht="25.5" hidden="false" customHeight="true" outlineLevel="0" collapsed="false">
      <c r="A52" s="11" t="s">
        <v>44</v>
      </c>
      <c r="B52" s="20" t="s">
        <v>107</v>
      </c>
    </row>
    <row r="53" customFormat="false" ht="25.5" hidden="false" customHeight="true" outlineLevel="0" collapsed="false">
      <c r="A53" s="11" t="s">
        <v>46</v>
      </c>
      <c r="B53" s="20" t="s">
        <v>108</v>
      </c>
    </row>
    <row r="54" customFormat="false" ht="25.5" hidden="false" customHeight="true" outlineLevel="0" collapsed="false">
      <c r="A54" s="11" t="s">
        <v>50</v>
      </c>
      <c r="B54" s="20" t="s">
        <v>109</v>
      </c>
    </row>
    <row r="55" customFormat="false" ht="25.5" hidden="false" customHeight="true" outlineLevel="0" collapsed="false">
      <c r="A55" s="11" t="s">
        <v>53</v>
      </c>
      <c r="B55" s="20" t="s">
        <v>110</v>
      </c>
    </row>
    <row r="56" customFormat="false" ht="25.5" hidden="false" customHeight="true" outlineLevel="0" collapsed="false">
      <c r="A56" s="11" t="s">
        <v>55</v>
      </c>
      <c r="B56" s="20" t="s">
        <v>111</v>
      </c>
    </row>
    <row r="57" customFormat="false" ht="25.5" hidden="false" customHeight="true" outlineLevel="0" collapsed="false">
      <c r="A57" s="11" t="s">
        <v>57</v>
      </c>
      <c r="B57" s="20" t="s">
        <v>112</v>
      </c>
    </row>
    <row r="58" customFormat="false" ht="25.5" hidden="false" customHeight="true" outlineLevel="0" collapsed="false">
      <c r="A58" s="11" t="s">
        <v>60</v>
      </c>
      <c r="B58" s="20" t="s">
        <v>113</v>
      </c>
    </row>
    <row r="59" customFormat="false" ht="25.5" hidden="false" customHeight="true" outlineLevel="0" collapsed="false">
      <c r="A59" s="11" t="s">
        <v>62</v>
      </c>
      <c r="B59" s="21" t="s">
        <v>114</v>
      </c>
    </row>
    <row r="60" customFormat="false" ht="25.5" hidden="false" customHeight="true" outlineLevel="0" collapsed="false">
      <c r="A60" s="11" t="s">
        <v>65</v>
      </c>
      <c r="B60" s="21" t="s">
        <v>114</v>
      </c>
    </row>
    <row r="61" customFormat="false" ht="25.5" hidden="false" customHeight="true" outlineLevel="0" collapsed="false">
      <c r="A61" s="11" t="s">
        <v>67</v>
      </c>
      <c r="B61" s="21" t="s">
        <v>114</v>
      </c>
    </row>
    <row r="62" customFormat="false" ht="25.5" hidden="false" customHeight="true" outlineLevel="0" collapsed="false">
      <c r="A62" s="11" t="s">
        <v>69</v>
      </c>
      <c r="B62" s="21" t="s">
        <v>114</v>
      </c>
    </row>
    <row r="63" customFormat="false" ht="25.5" hidden="false" customHeight="true" outlineLevel="0" collapsed="false">
      <c r="A63" s="11" t="s">
        <v>72</v>
      </c>
      <c r="B63" s="21" t="s">
        <v>114</v>
      </c>
    </row>
    <row r="64" customFormat="false" ht="25.5" hidden="false" customHeight="true" outlineLevel="0" collapsed="false">
      <c r="A64" s="11" t="s">
        <v>74</v>
      </c>
      <c r="B64" s="21" t="s">
        <v>114</v>
      </c>
    </row>
    <row r="65" customFormat="false" ht="25.5" hidden="false" customHeight="true" outlineLevel="0" collapsed="false">
      <c r="A65" s="11" t="s">
        <v>76</v>
      </c>
      <c r="B65" s="21" t="s">
        <v>114</v>
      </c>
    </row>
    <row r="66" customFormat="false" ht="25.5" hidden="false" customHeight="true" outlineLevel="0" collapsed="false">
      <c r="A66" s="11" t="s">
        <v>78</v>
      </c>
      <c r="B66" s="20" t="s">
        <v>115</v>
      </c>
    </row>
    <row r="67" customFormat="false" ht="25.5" hidden="false" customHeight="true" outlineLevel="0" collapsed="false">
      <c r="A67" s="11" t="s">
        <v>81</v>
      </c>
      <c r="B67" s="20" t="s">
        <v>116</v>
      </c>
    </row>
    <row r="68" customFormat="false" ht="25.5" hidden="false" customHeight="true" outlineLevel="0" collapsed="false">
      <c r="A68" s="11" t="s">
        <v>83</v>
      </c>
      <c r="B68" s="20" t="s">
        <v>117</v>
      </c>
    </row>
    <row r="69" customFormat="false" ht="25.5" hidden="false" customHeight="true" outlineLevel="0" collapsed="false">
      <c r="A69" s="11" t="s">
        <v>85</v>
      </c>
      <c r="B69" s="22" t="s">
        <v>118</v>
      </c>
    </row>
    <row r="70" customFormat="false" ht="25.5" hidden="false" customHeight="true" outlineLevel="0" collapsed="false">
      <c r="A70" s="11" t="s">
        <v>88</v>
      </c>
      <c r="B70" s="21" t="s">
        <v>114</v>
      </c>
    </row>
    <row r="71" customFormat="false" ht="25.5" hidden="false" customHeight="true" outlineLevel="0" collapsed="false">
      <c r="A71" s="11" t="s">
        <v>91</v>
      </c>
      <c r="B71" s="21" t="s">
        <v>114</v>
      </c>
    </row>
    <row r="72" customFormat="false" ht="25.5" hidden="false" customHeight="true" outlineLevel="0" collapsed="false">
      <c r="A72" s="11" t="s">
        <v>93</v>
      </c>
      <c r="B72" s="21" t="s">
        <v>119</v>
      </c>
    </row>
    <row r="73" customFormat="false" ht="25.5" hidden="false" customHeight="true" outlineLevel="0" collapsed="false">
      <c r="A73" s="11" t="s">
        <v>95</v>
      </c>
      <c r="B73" s="21" t="s">
        <v>114</v>
      </c>
    </row>
    <row r="74" customFormat="false" ht="25.5" hidden="false" customHeight="true" outlineLevel="0" collapsed="false">
      <c r="A74" s="11" t="s">
        <v>98</v>
      </c>
      <c r="B74" s="21" t="s">
        <v>114</v>
      </c>
    </row>
    <row r="76" customFormat="false" ht="15" hidden="false" customHeight="false" outlineLevel="0" collapsed="false">
      <c r="A76" s="23" t="s">
        <v>120</v>
      </c>
    </row>
    <row r="77" customFormat="false" ht="19.5" hidden="false" customHeight="true" outlineLevel="0" collapsed="false">
      <c r="A77" s="9"/>
      <c r="B77" s="9" t="s">
        <v>121</v>
      </c>
      <c r="C77" s="10" t="s">
        <v>122</v>
      </c>
      <c r="D77" s="10" t="s">
        <v>123</v>
      </c>
      <c r="E77" s="10" t="s">
        <v>124</v>
      </c>
    </row>
    <row r="78" customFormat="false" ht="15" hidden="false" customHeight="false" outlineLevel="0" collapsed="false">
      <c r="A78" s="24" t="s">
        <v>125</v>
      </c>
      <c r="B78" s="25" t="n">
        <f aca="false">SUM(I16:I43)</f>
        <v>53150</v>
      </c>
      <c r="C78" s="25" t="n">
        <f aca="false">SUM(J16:J43)</f>
        <v>20100</v>
      </c>
      <c r="D78" s="26" t="n">
        <f aca="false">B78-C78</f>
        <v>33050</v>
      </c>
      <c r="E78" s="27" t="n">
        <f aca="false">D78/B78</f>
        <v>0.621825023518344</v>
      </c>
    </row>
    <row r="79" customFormat="false" ht="15" hidden="false" customHeight="false" outlineLevel="0" collapsed="false">
      <c r="A79" s="28" t="s">
        <v>126</v>
      </c>
      <c r="B79" s="29" t="n">
        <v>0</v>
      </c>
      <c r="C79" s="29" t="n">
        <v>0</v>
      </c>
      <c r="D79" s="30" t="n">
        <f aca="false">B79-C79</f>
        <v>0</v>
      </c>
      <c r="E79" s="28" t="s">
        <v>127</v>
      </c>
    </row>
    <row r="80" customFormat="false" ht="15" hidden="false" customHeight="false" outlineLevel="0" collapsed="false">
      <c r="A80" s="31" t="s">
        <v>128</v>
      </c>
      <c r="B80" s="31"/>
      <c r="C80" s="31"/>
      <c r="D80" s="31"/>
      <c r="E80" s="31"/>
    </row>
    <row r="81" customFormat="false" ht="15" hidden="false" customHeight="false" outlineLevel="0" collapsed="false">
      <c r="A81" s="32" t="s">
        <v>129</v>
      </c>
      <c r="B81" s="33" t="n">
        <f aca="false">B78+B79</f>
        <v>53150</v>
      </c>
      <c r="C81" s="33" t="n">
        <f aca="false">C78+C79</f>
        <v>20100</v>
      </c>
      <c r="D81" s="33" t="n">
        <f aca="false">B81-C81</f>
        <v>33050</v>
      </c>
      <c r="E81" s="34" t="n">
        <f aca="false">D81/B81</f>
        <v>0.621825023518344</v>
      </c>
    </row>
    <row r="83" customFormat="false" ht="15" hidden="false" customHeight="false" outlineLevel="0" collapsed="false">
      <c r="A83" s="3" t="s">
        <v>130</v>
      </c>
    </row>
    <row r="84" customFormat="false" ht="19.5" hidden="false" customHeight="true" outlineLevel="0" collapsed="false">
      <c r="A84" s="9"/>
      <c r="B84" s="9" t="s">
        <v>131</v>
      </c>
      <c r="C84" s="10" t="s">
        <v>132</v>
      </c>
      <c r="D84" s="10"/>
      <c r="E84" s="10"/>
    </row>
    <row r="85" customFormat="false" ht="15" hidden="false" customHeight="false" outlineLevel="0" collapsed="false">
      <c r="A85" s="24" t="s">
        <v>133</v>
      </c>
      <c r="B85" s="25" t="n">
        <f aca="false">111000-B81</f>
        <v>57850</v>
      </c>
      <c r="C85" s="25" t="n">
        <f aca="false">40275-C81</f>
        <v>20175</v>
      </c>
      <c r="D85" s="35"/>
      <c r="E85" s="35"/>
    </row>
    <row r="86" customFormat="false" ht="25.5" hidden="false" customHeight="true" outlineLevel="0" collapsed="false">
      <c r="A86" s="36" t="s">
        <v>134</v>
      </c>
      <c r="B86" s="36"/>
      <c r="C86" s="36"/>
      <c r="D86" s="36"/>
      <c r="E86" s="36"/>
    </row>
    <row r="88" customFormat="false" ht="15" hidden="false" customHeight="false" outlineLevel="0" collapsed="false">
      <c r="A88" s="37" t="s">
        <v>135</v>
      </c>
    </row>
    <row r="89" customFormat="false" ht="15" hidden="false" customHeight="false" outlineLevel="0" collapsed="false">
      <c r="A89" s="4" t="s">
        <v>3</v>
      </c>
      <c r="B89" s="38" t="n">
        <v>14</v>
      </c>
    </row>
    <row r="90" customFormat="false" ht="15" hidden="false" customHeight="false" outlineLevel="0" collapsed="false">
      <c r="A90" s="6" t="s">
        <v>5</v>
      </c>
      <c r="B90" s="38" t="n">
        <v>1</v>
      </c>
    </row>
    <row r="91" customFormat="false" ht="15" hidden="false" customHeight="false" outlineLevel="0" collapsed="false">
      <c r="A91" s="7" t="s">
        <v>7</v>
      </c>
      <c r="B91" s="38" t="n">
        <v>13</v>
      </c>
    </row>
    <row r="93" customFormat="false" ht="15" hidden="false" customHeight="false" outlineLevel="0" collapsed="false">
      <c r="A93" s="3" t="s">
        <v>136</v>
      </c>
    </row>
    <row r="94" customFormat="false" ht="19.5" hidden="false" customHeight="true" outlineLevel="0" collapsed="false">
      <c r="A94" s="9"/>
      <c r="B94" s="9" t="s">
        <v>121</v>
      </c>
      <c r="C94" s="10" t="s">
        <v>122</v>
      </c>
      <c r="D94" s="10" t="s">
        <v>123</v>
      </c>
      <c r="E94" s="10" t="s">
        <v>124</v>
      </c>
    </row>
    <row r="95" customFormat="false" ht="15" hidden="false" customHeight="false" outlineLevel="0" collapsed="false">
      <c r="A95" s="24" t="s">
        <v>137</v>
      </c>
      <c r="B95" s="39" t="n">
        <f aca="false">B81+'AI Impact Analysis'!B72</f>
        <v>234350</v>
      </c>
      <c r="C95" s="39" t="n">
        <f aca="false">C81+'AI Impact Analysis'!C72</f>
        <v>127850</v>
      </c>
      <c r="D95" s="26" t="n">
        <f aca="false">B95-C95</f>
        <v>106500</v>
      </c>
      <c r="E95" s="27" t="n">
        <f aca="false">D95/B95</f>
        <v>0.454448474503947</v>
      </c>
    </row>
    <row r="97" customFormat="false" ht="48" hidden="false" customHeight="true" outlineLevel="0" collapsed="false">
      <c r="A97" s="40" t="s">
        <v>138</v>
      </c>
      <c r="B97" s="40"/>
      <c r="C97" s="40"/>
      <c r="D97" s="40"/>
      <c r="E97" s="40"/>
      <c r="F97" s="40"/>
      <c r="G97" s="40"/>
      <c r="H97" s="40"/>
      <c r="I97" s="40"/>
      <c r="J97" s="40"/>
      <c r="K97" s="40"/>
    </row>
    <row r="99" customFormat="false" ht="33.75" hidden="false" customHeight="true" outlineLevel="0" collapsed="false">
      <c r="A99" s="41" t="s">
        <v>139</v>
      </c>
      <c r="B99" s="41"/>
      <c r="C99" s="41"/>
      <c r="D99" s="41"/>
      <c r="E99" s="41"/>
      <c r="F99" s="41"/>
      <c r="G99" s="41"/>
      <c r="H99" s="41"/>
      <c r="I99" s="41"/>
      <c r="J99" s="41"/>
      <c r="K99" s="41"/>
    </row>
  </sheetData>
  <mergeCells count="12">
    <mergeCell ref="A1:K1"/>
    <mergeCell ref="A2:K2"/>
    <mergeCell ref="B5:K5"/>
    <mergeCell ref="B6:K6"/>
    <mergeCell ref="B7:K7"/>
    <mergeCell ref="B10:K10"/>
    <mergeCell ref="B11:K11"/>
    <mergeCell ref="B12:K12"/>
    <mergeCell ref="A80:E80"/>
    <mergeCell ref="A86:E86"/>
    <mergeCell ref="A97:K97"/>
    <mergeCell ref="A99:K99"/>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6" ySplit="4" topLeftCell="G5" activePane="bottomRight" state="frozen"/>
      <selection pane="topLeft" activeCell="A1" activeCellId="0" sqref="A1"/>
      <selection pane="topRight" activeCell="G1" activeCellId="0" sqref="G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40"/>
    <col collapsed="false" customWidth="true" hidden="false" outlineLevel="0" max="3" min="3" style="0" width="20"/>
    <col collapsed="false" customWidth="true" hidden="false" outlineLevel="0" max="4" min="4" style="0" width="15"/>
    <col collapsed="false" customWidth="true" hidden="false" outlineLevel="0" max="5" min="5" style="0" width="11"/>
    <col collapsed="false" customWidth="true" hidden="false" outlineLevel="0" max="6" min="6" style="0" width="9"/>
    <col collapsed="false" customWidth="true" hidden="false" outlineLevel="0" max="13" min="7" style="0" width="3.61"/>
  </cols>
  <sheetData>
    <row r="1" customFormat="false" ht="24" hidden="false" customHeight="true" outlineLevel="0" collapsed="false">
      <c r="A1" s="42" t="s">
        <v>140</v>
      </c>
      <c r="B1" s="42"/>
      <c r="C1" s="42"/>
      <c r="D1" s="42"/>
      <c r="E1" s="42"/>
      <c r="F1" s="42"/>
      <c r="G1" s="42"/>
      <c r="H1" s="42"/>
      <c r="I1" s="42"/>
      <c r="J1" s="42"/>
      <c r="K1" s="42"/>
      <c r="L1" s="42"/>
      <c r="M1" s="42"/>
    </row>
    <row r="2" customFormat="false" ht="30" hidden="false" customHeight="true" outlineLevel="0" collapsed="false">
      <c r="A2" s="2" t="s">
        <v>141</v>
      </c>
      <c r="B2" s="2"/>
      <c r="C2" s="2"/>
      <c r="D2" s="2"/>
      <c r="E2" s="2"/>
      <c r="F2" s="2"/>
      <c r="G2" s="2"/>
      <c r="H2" s="2"/>
      <c r="I2" s="2"/>
      <c r="J2" s="2"/>
      <c r="K2" s="2"/>
      <c r="L2" s="2"/>
      <c r="M2" s="2"/>
    </row>
    <row r="4" customFormat="false" ht="31.5" hidden="false" customHeight="true" outlineLevel="0" collapsed="false">
      <c r="A4" s="9" t="s">
        <v>17</v>
      </c>
      <c r="B4" s="9" t="s">
        <v>19</v>
      </c>
      <c r="C4" s="10" t="s">
        <v>142</v>
      </c>
      <c r="D4" s="10" t="s">
        <v>21</v>
      </c>
      <c r="E4" s="10" t="s">
        <v>22</v>
      </c>
      <c r="F4" s="10" t="s">
        <v>143</v>
      </c>
      <c r="G4" s="10" t="s">
        <v>144</v>
      </c>
      <c r="H4" s="10" t="s">
        <v>145</v>
      </c>
      <c r="I4" s="10" t="s">
        <v>146</v>
      </c>
      <c r="J4" s="10" t="s">
        <v>147</v>
      </c>
      <c r="K4" s="10" t="s">
        <v>148</v>
      </c>
      <c r="L4" s="10" t="s">
        <v>149</v>
      </c>
      <c r="M4" s="10" t="s">
        <v>150</v>
      </c>
    </row>
    <row r="5" customFormat="false" ht="18" hidden="false" customHeight="true" outlineLevel="0" collapsed="false">
      <c r="A5" s="43" t="s">
        <v>29</v>
      </c>
      <c r="B5" s="43"/>
      <c r="C5" s="43"/>
      <c r="D5" s="43"/>
      <c r="E5" s="43"/>
      <c r="F5" s="43"/>
      <c r="G5" s="43"/>
      <c r="H5" s="43"/>
      <c r="I5" s="43"/>
      <c r="J5" s="43"/>
      <c r="K5" s="43"/>
      <c r="L5" s="43"/>
      <c r="M5" s="43"/>
    </row>
    <row r="6" customFormat="false" ht="24" hidden="false" customHeight="true" outlineLevel="0" collapsed="false">
      <c r="A6" s="11" t="s">
        <v>28</v>
      </c>
      <c r="B6" s="44" t="s">
        <v>30</v>
      </c>
      <c r="C6" s="11" t="s">
        <v>31</v>
      </c>
      <c r="D6" s="45" t="s">
        <v>12</v>
      </c>
      <c r="E6" s="46" t="s">
        <v>3</v>
      </c>
      <c r="F6" s="47" t="s">
        <v>127</v>
      </c>
      <c r="G6" s="48" t="s">
        <v>151</v>
      </c>
      <c r="H6" s="48"/>
      <c r="I6" s="48"/>
      <c r="J6" s="48"/>
      <c r="K6" s="48"/>
      <c r="L6" s="48"/>
      <c r="M6" s="48"/>
    </row>
    <row r="7" customFormat="false" ht="24" hidden="false" customHeight="true" outlineLevel="0" collapsed="false">
      <c r="A7" s="11" t="s">
        <v>32</v>
      </c>
      <c r="B7" s="44" t="s">
        <v>33</v>
      </c>
      <c r="C7" s="11" t="s">
        <v>34</v>
      </c>
      <c r="D7" s="45" t="s">
        <v>12</v>
      </c>
      <c r="E7" s="46" t="s">
        <v>3</v>
      </c>
      <c r="F7" s="47" t="s">
        <v>127</v>
      </c>
      <c r="G7" s="48" t="s">
        <v>151</v>
      </c>
      <c r="H7" s="48"/>
      <c r="I7" s="48"/>
      <c r="J7" s="48"/>
      <c r="K7" s="48"/>
      <c r="L7" s="48"/>
      <c r="M7" s="48"/>
    </row>
    <row r="8" customFormat="false" ht="24" hidden="false" customHeight="true" outlineLevel="0" collapsed="false">
      <c r="A8" s="11" t="s">
        <v>35</v>
      </c>
      <c r="B8" s="44" t="s">
        <v>36</v>
      </c>
      <c r="C8" s="11" t="s">
        <v>37</v>
      </c>
      <c r="D8" s="46" t="s">
        <v>10</v>
      </c>
      <c r="E8" s="46" t="s">
        <v>3</v>
      </c>
      <c r="F8" s="47" t="s">
        <v>127</v>
      </c>
      <c r="G8" s="48" t="s">
        <v>151</v>
      </c>
      <c r="H8" s="48"/>
      <c r="I8" s="48"/>
      <c r="J8" s="48"/>
      <c r="K8" s="48"/>
      <c r="L8" s="48"/>
      <c r="M8" s="48"/>
    </row>
    <row r="9" customFormat="false" ht="24" hidden="false" customHeight="true" outlineLevel="0" collapsed="false">
      <c r="A9" s="11" t="s">
        <v>38</v>
      </c>
      <c r="B9" s="44" t="s">
        <v>39</v>
      </c>
      <c r="C9" s="11" t="s">
        <v>40</v>
      </c>
      <c r="D9" s="46" t="s">
        <v>10</v>
      </c>
      <c r="E9" s="46" t="s">
        <v>3</v>
      </c>
      <c r="F9" s="47" t="s">
        <v>127</v>
      </c>
      <c r="G9" s="48" t="s">
        <v>151</v>
      </c>
      <c r="H9" s="48"/>
      <c r="I9" s="48"/>
      <c r="J9" s="48"/>
      <c r="K9" s="48"/>
      <c r="L9" s="48"/>
      <c r="M9" s="48"/>
    </row>
    <row r="10" customFormat="false" ht="24" hidden="false" customHeight="true" outlineLevel="0" collapsed="false">
      <c r="A10" s="11" t="s">
        <v>41</v>
      </c>
      <c r="B10" s="44" t="s">
        <v>42</v>
      </c>
      <c r="C10" s="11" t="s">
        <v>43</v>
      </c>
      <c r="D10" s="49" t="s">
        <v>14</v>
      </c>
      <c r="E10" s="50" t="s">
        <v>7</v>
      </c>
      <c r="F10" s="47" t="n">
        <v>1</v>
      </c>
      <c r="G10" s="51"/>
      <c r="H10" s="35"/>
      <c r="I10" s="35"/>
      <c r="J10" s="35"/>
      <c r="K10" s="35"/>
      <c r="L10" s="35"/>
      <c r="M10" s="35"/>
    </row>
    <row r="11" customFormat="false" ht="24" hidden="false" customHeight="true" outlineLevel="0" collapsed="false">
      <c r="A11" s="11" t="s">
        <v>44</v>
      </c>
      <c r="B11" s="44" t="s">
        <v>45</v>
      </c>
      <c r="C11" s="11" t="s">
        <v>34</v>
      </c>
      <c r="D11" s="46" t="s">
        <v>10</v>
      </c>
      <c r="E11" s="46" t="s">
        <v>3</v>
      </c>
      <c r="F11" s="47" t="s">
        <v>127</v>
      </c>
      <c r="G11" s="48" t="s">
        <v>151</v>
      </c>
      <c r="H11" s="48"/>
      <c r="I11" s="48"/>
      <c r="J11" s="48"/>
      <c r="K11" s="48"/>
      <c r="L11" s="48"/>
      <c r="M11" s="48"/>
    </row>
    <row r="12" customFormat="false" ht="18" hidden="false" customHeight="true" outlineLevel="0" collapsed="false">
      <c r="A12" s="43" t="s">
        <v>47</v>
      </c>
      <c r="B12" s="43"/>
      <c r="C12" s="43"/>
      <c r="D12" s="43"/>
      <c r="E12" s="43"/>
      <c r="F12" s="43"/>
      <c r="G12" s="43"/>
      <c r="H12" s="43"/>
      <c r="I12" s="43"/>
      <c r="J12" s="43"/>
      <c r="K12" s="43"/>
      <c r="L12" s="43"/>
      <c r="M12" s="43"/>
    </row>
    <row r="13" customFormat="false" ht="24" hidden="false" customHeight="true" outlineLevel="0" collapsed="false">
      <c r="A13" s="11" t="s">
        <v>46</v>
      </c>
      <c r="B13" s="44" t="s">
        <v>48</v>
      </c>
      <c r="C13" s="11" t="s">
        <v>49</v>
      </c>
      <c r="D13" s="46" t="s">
        <v>10</v>
      </c>
      <c r="E13" s="46" t="s">
        <v>3</v>
      </c>
      <c r="F13" s="47" t="s">
        <v>127</v>
      </c>
      <c r="G13" s="48" t="s">
        <v>151</v>
      </c>
      <c r="H13" s="48"/>
      <c r="I13" s="48"/>
      <c r="J13" s="48"/>
      <c r="K13" s="48"/>
      <c r="L13" s="48"/>
      <c r="M13" s="48"/>
    </row>
    <row r="14" customFormat="false" ht="24" hidden="false" customHeight="true" outlineLevel="0" collapsed="false">
      <c r="A14" s="11" t="s">
        <v>50</v>
      </c>
      <c r="B14" s="44" t="s">
        <v>51</v>
      </c>
      <c r="C14" s="11" t="s">
        <v>52</v>
      </c>
      <c r="D14" s="46" t="s">
        <v>10</v>
      </c>
      <c r="E14" s="46" t="s">
        <v>3</v>
      </c>
      <c r="F14" s="47" t="s">
        <v>127</v>
      </c>
      <c r="G14" s="48" t="s">
        <v>151</v>
      </c>
      <c r="H14" s="48"/>
      <c r="I14" s="48"/>
      <c r="J14" s="48"/>
      <c r="K14" s="48"/>
      <c r="L14" s="48"/>
      <c r="M14" s="48"/>
    </row>
    <row r="15" customFormat="false" ht="24" hidden="false" customHeight="true" outlineLevel="0" collapsed="false">
      <c r="A15" s="11" t="s">
        <v>53</v>
      </c>
      <c r="B15" s="44" t="s">
        <v>54</v>
      </c>
      <c r="C15" s="11" t="s">
        <v>52</v>
      </c>
      <c r="D15" s="46" t="s">
        <v>10</v>
      </c>
      <c r="E15" s="46" t="s">
        <v>3</v>
      </c>
      <c r="F15" s="47" t="s">
        <v>127</v>
      </c>
      <c r="G15" s="48" t="s">
        <v>151</v>
      </c>
      <c r="H15" s="48"/>
      <c r="I15" s="48"/>
      <c r="J15" s="48"/>
      <c r="K15" s="48"/>
      <c r="L15" s="48"/>
      <c r="M15" s="48"/>
    </row>
    <row r="16" customFormat="false" ht="24" hidden="false" customHeight="true" outlineLevel="0" collapsed="false">
      <c r="A16" s="11" t="s">
        <v>55</v>
      </c>
      <c r="B16" s="44" t="s">
        <v>56</v>
      </c>
      <c r="C16" s="11" t="s">
        <v>40</v>
      </c>
      <c r="D16" s="46" t="s">
        <v>10</v>
      </c>
      <c r="E16" s="46" t="s">
        <v>3</v>
      </c>
      <c r="F16" s="47" t="s">
        <v>127</v>
      </c>
      <c r="G16" s="48" t="s">
        <v>151</v>
      </c>
      <c r="H16" s="48"/>
      <c r="I16" s="48"/>
      <c r="J16" s="48"/>
      <c r="K16" s="48"/>
      <c r="L16" s="48"/>
      <c r="M16" s="48"/>
    </row>
    <row r="17" customFormat="false" ht="18" hidden="false" customHeight="true" outlineLevel="0" collapsed="false">
      <c r="A17" s="43" t="s">
        <v>58</v>
      </c>
      <c r="B17" s="43"/>
      <c r="C17" s="43"/>
      <c r="D17" s="43"/>
      <c r="E17" s="43"/>
      <c r="F17" s="43"/>
      <c r="G17" s="43"/>
      <c r="H17" s="43"/>
      <c r="I17" s="43"/>
      <c r="J17" s="43"/>
      <c r="K17" s="43"/>
      <c r="L17" s="43"/>
      <c r="M17" s="43"/>
    </row>
    <row r="18" customFormat="false" ht="24" hidden="false" customHeight="true" outlineLevel="0" collapsed="false">
      <c r="A18" s="11" t="s">
        <v>57</v>
      </c>
      <c r="B18" s="44" t="s">
        <v>59</v>
      </c>
      <c r="C18" s="11" t="s">
        <v>37</v>
      </c>
      <c r="D18" s="46" t="s">
        <v>10</v>
      </c>
      <c r="E18" s="46" t="s">
        <v>3</v>
      </c>
      <c r="F18" s="47" t="s">
        <v>127</v>
      </c>
      <c r="G18" s="48" t="s">
        <v>151</v>
      </c>
      <c r="H18" s="48"/>
      <c r="I18" s="48"/>
      <c r="J18" s="48"/>
      <c r="K18" s="48"/>
      <c r="L18" s="48"/>
      <c r="M18" s="48"/>
    </row>
    <row r="19" customFormat="false" ht="24" hidden="false" customHeight="true" outlineLevel="0" collapsed="false">
      <c r="A19" s="11" t="s">
        <v>60</v>
      </c>
      <c r="B19" s="44" t="s">
        <v>61</v>
      </c>
      <c r="C19" s="11" t="s">
        <v>40</v>
      </c>
      <c r="D19" s="46" t="s">
        <v>10</v>
      </c>
      <c r="E19" s="46" t="s">
        <v>3</v>
      </c>
      <c r="F19" s="47" t="s">
        <v>127</v>
      </c>
      <c r="G19" s="48" t="s">
        <v>151</v>
      </c>
      <c r="H19" s="48"/>
      <c r="I19" s="48"/>
      <c r="J19" s="48"/>
      <c r="K19" s="48"/>
      <c r="L19" s="48"/>
      <c r="M19" s="48"/>
    </row>
    <row r="20" customFormat="false" ht="18" hidden="false" customHeight="true" outlineLevel="0" collapsed="false">
      <c r="A20" s="43" t="s">
        <v>63</v>
      </c>
      <c r="B20" s="43"/>
      <c r="C20" s="43"/>
      <c r="D20" s="43"/>
      <c r="E20" s="43"/>
      <c r="F20" s="43"/>
      <c r="G20" s="43"/>
      <c r="H20" s="43"/>
      <c r="I20" s="43"/>
      <c r="J20" s="43"/>
      <c r="K20" s="43"/>
      <c r="L20" s="43"/>
      <c r="M20" s="43"/>
    </row>
    <row r="21" customFormat="false" ht="24" hidden="false" customHeight="true" outlineLevel="0" collapsed="false">
      <c r="A21" s="11" t="s">
        <v>62</v>
      </c>
      <c r="B21" s="44" t="s">
        <v>64</v>
      </c>
      <c r="C21" s="11" t="s">
        <v>52</v>
      </c>
      <c r="D21" s="45" t="s">
        <v>12</v>
      </c>
      <c r="E21" s="50" t="s">
        <v>7</v>
      </c>
      <c r="F21" s="47" t="n">
        <v>2</v>
      </c>
      <c r="G21" s="52"/>
      <c r="H21" s="52"/>
      <c r="I21" s="35"/>
      <c r="J21" s="35"/>
      <c r="K21" s="35"/>
      <c r="L21" s="35"/>
      <c r="M21" s="35"/>
    </row>
    <row r="22" customFormat="false" ht="24" hidden="false" customHeight="true" outlineLevel="0" collapsed="false">
      <c r="A22" s="11" t="s">
        <v>65</v>
      </c>
      <c r="B22" s="44" t="s">
        <v>66</v>
      </c>
      <c r="C22" s="11" t="s">
        <v>40</v>
      </c>
      <c r="D22" s="46" t="s">
        <v>10</v>
      </c>
      <c r="E22" s="50" t="s">
        <v>7</v>
      </c>
      <c r="F22" s="47" t="n">
        <v>2</v>
      </c>
      <c r="G22" s="35"/>
      <c r="H22" s="52"/>
      <c r="I22" s="52"/>
      <c r="J22" s="35"/>
      <c r="K22" s="35"/>
      <c r="L22" s="35"/>
      <c r="M22" s="35"/>
    </row>
    <row r="23" customFormat="false" ht="24" hidden="false" customHeight="true" outlineLevel="0" collapsed="false">
      <c r="A23" s="11" t="s">
        <v>67</v>
      </c>
      <c r="B23" s="44" t="s">
        <v>68</v>
      </c>
      <c r="C23" s="11" t="s">
        <v>52</v>
      </c>
      <c r="D23" s="46" t="s">
        <v>10</v>
      </c>
      <c r="E23" s="50" t="s">
        <v>7</v>
      </c>
      <c r="F23" s="47" t="n">
        <v>2</v>
      </c>
      <c r="G23" s="35"/>
      <c r="H23" s="52"/>
      <c r="I23" s="52"/>
      <c r="J23" s="35"/>
      <c r="K23" s="35"/>
      <c r="L23" s="35"/>
      <c r="M23" s="35"/>
    </row>
    <row r="24" customFormat="false" ht="18" hidden="false" customHeight="true" outlineLevel="0" collapsed="false">
      <c r="A24" s="43" t="s">
        <v>70</v>
      </c>
      <c r="B24" s="43"/>
      <c r="C24" s="43"/>
      <c r="D24" s="43"/>
      <c r="E24" s="43"/>
      <c r="F24" s="43"/>
      <c r="G24" s="43"/>
      <c r="H24" s="43"/>
      <c r="I24" s="43"/>
      <c r="J24" s="43"/>
      <c r="K24" s="43"/>
      <c r="L24" s="43"/>
      <c r="M24" s="43"/>
    </row>
    <row r="25" customFormat="false" ht="24" hidden="false" customHeight="true" outlineLevel="0" collapsed="false">
      <c r="A25" s="11" t="s">
        <v>69</v>
      </c>
      <c r="B25" s="44" t="s">
        <v>71</v>
      </c>
      <c r="C25" s="11" t="s">
        <v>34</v>
      </c>
      <c r="D25" s="46" t="s">
        <v>10</v>
      </c>
      <c r="E25" s="50" t="s">
        <v>7</v>
      </c>
      <c r="F25" s="47" t="n">
        <v>2</v>
      </c>
      <c r="G25" s="53"/>
      <c r="H25" s="53"/>
      <c r="I25" s="35"/>
      <c r="J25" s="35"/>
      <c r="K25" s="35"/>
      <c r="L25" s="35"/>
      <c r="M25" s="35"/>
    </row>
    <row r="26" customFormat="false" ht="24" hidden="false" customHeight="true" outlineLevel="0" collapsed="false">
      <c r="A26" s="11" t="s">
        <v>72</v>
      </c>
      <c r="B26" s="44" t="s">
        <v>73</v>
      </c>
      <c r="C26" s="11" t="s">
        <v>37</v>
      </c>
      <c r="D26" s="46" t="s">
        <v>10</v>
      </c>
      <c r="E26" s="50" t="s">
        <v>7</v>
      </c>
      <c r="F26" s="47" t="n">
        <v>2</v>
      </c>
      <c r="G26" s="35"/>
      <c r="H26" s="53"/>
      <c r="I26" s="53"/>
      <c r="J26" s="35"/>
      <c r="K26" s="35"/>
      <c r="L26" s="35"/>
      <c r="M26" s="35"/>
    </row>
    <row r="27" customFormat="false" ht="24" hidden="false" customHeight="true" outlineLevel="0" collapsed="false">
      <c r="A27" s="11" t="s">
        <v>74</v>
      </c>
      <c r="B27" s="44" t="s">
        <v>75</v>
      </c>
      <c r="C27" s="11" t="s">
        <v>49</v>
      </c>
      <c r="D27" s="46" t="s">
        <v>10</v>
      </c>
      <c r="E27" s="50" t="s">
        <v>7</v>
      </c>
      <c r="F27" s="47" t="n">
        <v>2</v>
      </c>
      <c r="G27" s="35"/>
      <c r="H27" s="53"/>
      <c r="I27" s="53"/>
      <c r="J27" s="35"/>
      <c r="K27" s="35"/>
      <c r="L27" s="35"/>
      <c r="M27" s="35"/>
    </row>
    <row r="28" customFormat="false" ht="24" hidden="false" customHeight="true" outlineLevel="0" collapsed="false">
      <c r="A28" s="11" t="s">
        <v>76</v>
      </c>
      <c r="B28" s="44" t="s">
        <v>77</v>
      </c>
      <c r="C28" s="11" t="s">
        <v>40</v>
      </c>
      <c r="D28" s="46" t="s">
        <v>10</v>
      </c>
      <c r="E28" s="50" t="s">
        <v>7</v>
      </c>
      <c r="F28" s="47" t="n">
        <v>2</v>
      </c>
      <c r="G28" s="35"/>
      <c r="H28" s="35"/>
      <c r="I28" s="53"/>
      <c r="J28" s="53"/>
      <c r="K28" s="35"/>
      <c r="L28" s="35"/>
      <c r="M28" s="35"/>
    </row>
    <row r="29" customFormat="false" ht="18" hidden="false" customHeight="true" outlineLevel="0" collapsed="false">
      <c r="A29" s="43" t="s">
        <v>79</v>
      </c>
      <c r="B29" s="43"/>
      <c r="C29" s="43"/>
      <c r="D29" s="43"/>
      <c r="E29" s="43"/>
      <c r="F29" s="43"/>
      <c r="G29" s="43"/>
      <c r="H29" s="43"/>
      <c r="I29" s="43"/>
      <c r="J29" s="43"/>
      <c r="K29" s="43"/>
      <c r="L29" s="43"/>
      <c r="M29" s="43"/>
    </row>
    <row r="30" customFormat="false" ht="24" hidden="false" customHeight="true" outlineLevel="0" collapsed="false">
      <c r="A30" s="11" t="s">
        <v>78</v>
      </c>
      <c r="B30" s="44" t="s">
        <v>80</v>
      </c>
      <c r="C30" s="11" t="s">
        <v>49</v>
      </c>
      <c r="D30" s="46" t="s">
        <v>10</v>
      </c>
      <c r="E30" s="46" t="s">
        <v>3</v>
      </c>
      <c r="F30" s="47" t="s">
        <v>127</v>
      </c>
      <c r="G30" s="48" t="s">
        <v>151</v>
      </c>
      <c r="H30" s="48"/>
      <c r="I30" s="48"/>
      <c r="J30" s="48"/>
      <c r="K30" s="48"/>
      <c r="L30" s="48"/>
      <c r="M30" s="48"/>
    </row>
    <row r="31" customFormat="false" ht="24" hidden="false" customHeight="true" outlineLevel="0" collapsed="false">
      <c r="A31" s="11" t="s">
        <v>81</v>
      </c>
      <c r="B31" s="44" t="s">
        <v>82</v>
      </c>
      <c r="C31" s="11" t="s">
        <v>31</v>
      </c>
      <c r="D31" s="45" t="s">
        <v>12</v>
      </c>
      <c r="E31" s="46" t="s">
        <v>3</v>
      </c>
      <c r="F31" s="47" t="s">
        <v>127</v>
      </c>
      <c r="G31" s="48" t="s">
        <v>151</v>
      </c>
      <c r="H31" s="48"/>
      <c r="I31" s="48"/>
      <c r="J31" s="48"/>
      <c r="K31" s="48"/>
      <c r="L31" s="48"/>
      <c r="M31" s="48"/>
    </row>
    <row r="32" customFormat="false" ht="24" hidden="false" customHeight="true" outlineLevel="0" collapsed="false">
      <c r="A32" s="11" t="s">
        <v>83</v>
      </c>
      <c r="B32" s="44" t="s">
        <v>84</v>
      </c>
      <c r="C32" s="11" t="s">
        <v>40</v>
      </c>
      <c r="D32" s="46" t="s">
        <v>10</v>
      </c>
      <c r="E32" s="46" t="s">
        <v>3</v>
      </c>
      <c r="F32" s="47" t="s">
        <v>127</v>
      </c>
      <c r="G32" s="48" t="s">
        <v>151</v>
      </c>
      <c r="H32" s="48"/>
      <c r="I32" s="48"/>
      <c r="J32" s="48"/>
      <c r="K32" s="48"/>
      <c r="L32" s="48"/>
      <c r="M32" s="48"/>
    </row>
    <row r="33" customFormat="false" ht="18" hidden="false" customHeight="true" outlineLevel="0" collapsed="false">
      <c r="A33" s="43" t="s">
        <v>86</v>
      </c>
      <c r="B33" s="43"/>
      <c r="C33" s="43"/>
      <c r="D33" s="43"/>
      <c r="E33" s="43"/>
      <c r="F33" s="43"/>
      <c r="G33" s="43"/>
      <c r="H33" s="43"/>
      <c r="I33" s="43"/>
      <c r="J33" s="43"/>
      <c r="K33" s="43"/>
      <c r="L33" s="43"/>
      <c r="M33" s="43"/>
    </row>
    <row r="34" customFormat="false" ht="24" hidden="false" customHeight="true" outlineLevel="0" collapsed="false">
      <c r="A34" s="11" t="s">
        <v>85</v>
      </c>
      <c r="B34" s="44" t="s">
        <v>87</v>
      </c>
      <c r="C34" s="11" t="s">
        <v>40</v>
      </c>
      <c r="D34" s="46" t="s">
        <v>10</v>
      </c>
      <c r="E34" s="45" t="s">
        <v>5</v>
      </c>
      <c r="F34" s="47" t="n">
        <v>2</v>
      </c>
      <c r="G34" s="35"/>
      <c r="H34" s="35"/>
      <c r="I34" s="54"/>
      <c r="J34" s="54"/>
      <c r="K34" s="35"/>
      <c r="L34" s="35"/>
      <c r="M34" s="35"/>
    </row>
    <row r="35" customFormat="false" ht="18" hidden="false" customHeight="true" outlineLevel="0" collapsed="false">
      <c r="A35" s="43" t="s">
        <v>89</v>
      </c>
      <c r="B35" s="43"/>
      <c r="C35" s="43"/>
      <c r="D35" s="43"/>
      <c r="E35" s="43"/>
      <c r="F35" s="43"/>
      <c r="G35" s="43"/>
      <c r="H35" s="43"/>
      <c r="I35" s="43"/>
      <c r="J35" s="43"/>
      <c r="K35" s="43"/>
      <c r="L35" s="43"/>
      <c r="M35" s="43"/>
    </row>
    <row r="36" customFormat="false" ht="24" hidden="false" customHeight="true" outlineLevel="0" collapsed="false">
      <c r="A36" s="11" t="s">
        <v>88</v>
      </c>
      <c r="B36" s="44" t="s">
        <v>90</v>
      </c>
      <c r="C36" s="11" t="s">
        <v>37</v>
      </c>
      <c r="D36" s="45" t="s">
        <v>12</v>
      </c>
      <c r="E36" s="50" t="s">
        <v>7</v>
      </c>
      <c r="F36" s="47" t="n">
        <v>3</v>
      </c>
      <c r="G36" s="35"/>
      <c r="H36" s="35"/>
      <c r="I36" s="35"/>
      <c r="J36" s="55"/>
      <c r="K36" s="55"/>
      <c r="L36" s="55"/>
      <c r="M36" s="35"/>
    </row>
    <row r="37" customFormat="false" ht="24" hidden="false" customHeight="true" outlineLevel="0" collapsed="false">
      <c r="A37" s="11" t="s">
        <v>91</v>
      </c>
      <c r="B37" s="44" t="s">
        <v>92</v>
      </c>
      <c r="C37" s="11" t="s">
        <v>34</v>
      </c>
      <c r="D37" s="45" t="s">
        <v>12</v>
      </c>
      <c r="E37" s="50" t="s">
        <v>7</v>
      </c>
      <c r="F37" s="47" t="n">
        <v>3</v>
      </c>
      <c r="G37" s="35"/>
      <c r="H37" s="35"/>
      <c r="I37" s="35"/>
      <c r="J37" s="55"/>
      <c r="K37" s="55"/>
      <c r="L37" s="55"/>
      <c r="M37" s="35"/>
    </row>
    <row r="38" customFormat="false" ht="24" hidden="false" customHeight="true" outlineLevel="0" collapsed="false">
      <c r="A38" s="11" t="s">
        <v>93</v>
      </c>
      <c r="B38" s="44" t="s">
        <v>94</v>
      </c>
      <c r="C38" s="11" t="s">
        <v>40</v>
      </c>
      <c r="D38" s="46" t="s">
        <v>10</v>
      </c>
      <c r="E38" s="50" t="s">
        <v>7</v>
      </c>
      <c r="F38" s="47" t="n">
        <v>2</v>
      </c>
      <c r="G38" s="35"/>
      <c r="H38" s="35"/>
      <c r="I38" s="35"/>
      <c r="J38" s="35"/>
      <c r="K38" s="35"/>
      <c r="L38" s="55"/>
      <c r="M38" s="55"/>
    </row>
    <row r="39" customFormat="false" ht="18" hidden="false" customHeight="true" outlineLevel="0" collapsed="false">
      <c r="A39" s="43" t="s">
        <v>96</v>
      </c>
      <c r="B39" s="43"/>
      <c r="C39" s="43"/>
      <c r="D39" s="43"/>
      <c r="E39" s="43"/>
      <c r="F39" s="43"/>
      <c r="G39" s="43"/>
      <c r="H39" s="43"/>
      <c r="I39" s="43"/>
      <c r="J39" s="43"/>
      <c r="K39" s="43"/>
      <c r="L39" s="43"/>
      <c r="M39" s="43"/>
    </row>
    <row r="40" customFormat="false" ht="24" hidden="false" customHeight="true" outlineLevel="0" collapsed="false">
      <c r="A40" s="11" t="s">
        <v>95</v>
      </c>
      <c r="B40" s="44" t="s">
        <v>97</v>
      </c>
      <c r="C40" s="11" t="s">
        <v>31</v>
      </c>
      <c r="D40" s="46" t="s">
        <v>10</v>
      </c>
      <c r="E40" s="50" t="s">
        <v>7</v>
      </c>
      <c r="F40" s="47" t="n">
        <v>1</v>
      </c>
      <c r="G40" s="35"/>
      <c r="H40" s="35"/>
      <c r="I40" s="35"/>
      <c r="J40" s="35"/>
      <c r="K40" s="35"/>
      <c r="L40" s="35"/>
      <c r="M40" s="56"/>
    </row>
    <row r="41" customFormat="false" ht="24" hidden="false" customHeight="true" outlineLevel="0" collapsed="false">
      <c r="A41" s="11" t="s">
        <v>98</v>
      </c>
      <c r="B41" s="44" t="s">
        <v>99</v>
      </c>
      <c r="C41" s="11" t="s">
        <v>31</v>
      </c>
      <c r="D41" s="46" t="s">
        <v>10</v>
      </c>
      <c r="E41" s="50" t="s">
        <v>7</v>
      </c>
      <c r="F41" s="47" t="n">
        <v>1</v>
      </c>
      <c r="G41" s="35"/>
      <c r="H41" s="35"/>
      <c r="I41" s="35"/>
      <c r="J41" s="35"/>
      <c r="K41" s="35"/>
      <c r="L41" s="35"/>
      <c r="M41" s="56"/>
    </row>
    <row r="43" customFormat="false" ht="15" hidden="false" customHeight="false" outlineLevel="0" collapsed="false">
      <c r="A43" s="57" t="s">
        <v>152</v>
      </c>
    </row>
    <row r="44" customFormat="false" ht="15" hidden="false" customHeight="false" outlineLevel="0" collapsed="false">
      <c r="A44" s="51"/>
      <c r="B44" s="58" t="s">
        <v>29</v>
      </c>
    </row>
    <row r="45" customFormat="false" ht="15" hidden="false" customHeight="false" outlineLevel="0" collapsed="false">
      <c r="A45" s="59"/>
      <c r="B45" s="58" t="s">
        <v>47</v>
      </c>
    </row>
    <row r="46" customFormat="false" ht="15" hidden="false" customHeight="false" outlineLevel="0" collapsed="false">
      <c r="A46" s="60"/>
      <c r="B46" s="58" t="s">
        <v>58</v>
      </c>
    </row>
    <row r="47" customFormat="false" ht="15" hidden="false" customHeight="false" outlineLevel="0" collapsed="false">
      <c r="A47" s="52"/>
      <c r="B47" s="58" t="s">
        <v>63</v>
      </c>
    </row>
    <row r="48" customFormat="false" ht="15" hidden="false" customHeight="false" outlineLevel="0" collapsed="false">
      <c r="A48" s="53"/>
      <c r="B48" s="58" t="s">
        <v>70</v>
      </c>
    </row>
    <row r="49" customFormat="false" ht="15" hidden="false" customHeight="false" outlineLevel="0" collapsed="false">
      <c r="A49" s="61"/>
      <c r="B49" s="58" t="s">
        <v>79</v>
      </c>
    </row>
    <row r="50" customFormat="false" ht="15" hidden="false" customHeight="false" outlineLevel="0" collapsed="false">
      <c r="A50" s="54"/>
      <c r="B50" s="58" t="s">
        <v>86</v>
      </c>
    </row>
    <row r="51" customFormat="false" ht="15" hidden="false" customHeight="false" outlineLevel="0" collapsed="false">
      <c r="A51" s="55"/>
      <c r="B51" s="58" t="s">
        <v>89</v>
      </c>
    </row>
    <row r="52" customFormat="false" ht="15" hidden="false" customHeight="false" outlineLevel="0" collapsed="false">
      <c r="A52" s="56"/>
      <c r="B52" s="58" t="s">
        <v>96</v>
      </c>
    </row>
    <row r="54" customFormat="false" ht="15" hidden="false" customHeight="false" outlineLevel="0" collapsed="false">
      <c r="A54" s="57" t="s">
        <v>153</v>
      </c>
    </row>
    <row r="55" customFormat="false" ht="15" hidden="false" customHeight="false" outlineLevel="0" collapsed="false">
      <c r="A55" s="60"/>
      <c r="B55" s="62" t="s">
        <v>10</v>
      </c>
    </row>
    <row r="56" customFormat="false" ht="15" hidden="false" customHeight="false" outlineLevel="0" collapsed="false">
      <c r="A56" s="52"/>
      <c r="B56" s="63" t="s">
        <v>12</v>
      </c>
    </row>
    <row r="57" customFormat="false" ht="15" hidden="false" customHeight="false" outlineLevel="0" collapsed="false">
      <c r="A57" s="64"/>
      <c r="B57" s="65" t="s">
        <v>14</v>
      </c>
    </row>
    <row r="59" customFormat="false" ht="15" hidden="false" customHeight="false" outlineLevel="0" collapsed="false">
      <c r="A59" s="57" t="s">
        <v>154</v>
      </c>
    </row>
    <row r="60" customFormat="false" ht="15" hidden="false" customHeight="false" outlineLevel="0" collapsed="false">
      <c r="A60" s="60"/>
      <c r="B60" s="62" t="s">
        <v>3</v>
      </c>
    </row>
    <row r="61" customFormat="false" ht="15" hidden="false" customHeight="false" outlineLevel="0" collapsed="false">
      <c r="A61" s="52"/>
      <c r="B61" s="63" t="s">
        <v>5</v>
      </c>
    </row>
    <row r="62" customFormat="false" ht="15" hidden="false" customHeight="false" outlineLevel="0" collapsed="false">
      <c r="A62" s="66"/>
      <c r="B62" s="67" t="s">
        <v>7</v>
      </c>
    </row>
  </sheetData>
  <mergeCells count="25">
    <mergeCell ref="A1:M1"/>
    <mergeCell ref="A2:M2"/>
    <mergeCell ref="A5:M5"/>
    <mergeCell ref="G6:M6"/>
    <mergeCell ref="G7:M7"/>
    <mergeCell ref="G8:M8"/>
    <mergeCell ref="G9:M9"/>
    <mergeCell ref="G11:M11"/>
    <mergeCell ref="A12:M12"/>
    <mergeCell ref="G13:M13"/>
    <mergeCell ref="G14:M14"/>
    <mergeCell ref="G15:M15"/>
    <mergeCell ref="G16:M16"/>
    <mergeCell ref="A17:M17"/>
    <mergeCell ref="G18:M18"/>
    <mergeCell ref="G19:M19"/>
    <mergeCell ref="A20:M20"/>
    <mergeCell ref="A24:M24"/>
    <mergeCell ref="A29:M29"/>
    <mergeCell ref="G30:M30"/>
    <mergeCell ref="G31:M31"/>
    <mergeCell ref="G32:M32"/>
    <mergeCell ref="A33:M33"/>
    <mergeCell ref="A35:M35"/>
    <mergeCell ref="A39:M39"/>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68" width="22"/>
    <col collapsed="false" customWidth="true" hidden="false" outlineLevel="0" max="2" min="2" style="68" width="8"/>
    <col collapsed="false" customWidth="true" hidden="false" outlineLevel="0" max="3" min="3" style="68" width="42"/>
    <col collapsed="false" customWidth="true" hidden="false" outlineLevel="0" max="4" min="4" style="68" width="20"/>
    <col collapsed="false" customWidth="true" hidden="false" outlineLevel="0" max="5" min="5" style="68" width="12"/>
    <col collapsed="false" customWidth="true" hidden="false" outlineLevel="0" max="6" min="6" style="68" width="16"/>
    <col collapsed="false" customWidth="true" hidden="false" outlineLevel="0" max="7" min="7" style="68" width="42"/>
    <col collapsed="false" customWidth="true" hidden="false" outlineLevel="0" max="8" min="8" style="68" width="14"/>
  </cols>
  <sheetData>
    <row r="1" customFormat="false" ht="25.5" hidden="false" customHeight="true" outlineLevel="0" collapsed="false">
      <c r="A1" s="69" t="s">
        <v>155</v>
      </c>
      <c r="B1" s="69"/>
      <c r="C1" s="69"/>
      <c r="D1" s="69"/>
      <c r="E1" s="69"/>
      <c r="F1" s="69"/>
      <c r="G1" s="69"/>
      <c r="H1" s="69"/>
    </row>
    <row r="2" customFormat="false" ht="18" hidden="false" customHeight="true" outlineLevel="0" collapsed="false">
      <c r="A2" s="70" t="s">
        <v>156</v>
      </c>
      <c r="B2" s="70"/>
      <c r="C2" s="70"/>
      <c r="D2" s="70"/>
      <c r="E2" s="70"/>
      <c r="F2" s="70"/>
      <c r="G2" s="70"/>
      <c r="H2" s="70"/>
    </row>
    <row r="4" customFormat="false" ht="30" hidden="false" customHeight="true" outlineLevel="0" collapsed="false">
      <c r="A4" s="9" t="s">
        <v>157</v>
      </c>
      <c r="B4" s="9" t="s">
        <v>158</v>
      </c>
      <c r="C4" s="9" t="s">
        <v>19</v>
      </c>
      <c r="D4" s="9" t="s">
        <v>142</v>
      </c>
      <c r="E4" s="9" t="s">
        <v>159</v>
      </c>
      <c r="F4" s="9" t="s">
        <v>160</v>
      </c>
      <c r="G4" s="9" t="s">
        <v>161</v>
      </c>
      <c r="H4" s="9" t="s">
        <v>22</v>
      </c>
    </row>
    <row r="5" customFormat="false" ht="21.75" hidden="false" customHeight="true" outlineLevel="0" collapsed="false">
      <c r="A5" s="71" t="s">
        <v>162</v>
      </c>
      <c r="B5" s="71"/>
      <c r="C5" s="71"/>
      <c r="D5" s="71"/>
      <c r="E5" s="71"/>
      <c r="F5" s="71"/>
      <c r="G5" s="71"/>
      <c r="H5" s="71"/>
    </row>
    <row r="6" customFormat="false" ht="45.75" hidden="false" customHeight="true" outlineLevel="0" collapsed="false">
      <c r="A6" s="72" t="s">
        <v>163</v>
      </c>
      <c r="B6" s="72" t="s">
        <v>164</v>
      </c>
      <c r="C6" s="73" t="s">
        <v>165</v>
      </c>
      <c r="D6" s="72" t="s">
        <v>166</v>
      </c>
      <c r="E6" s="72" t="s">
        <v>167</v>
      </c>
      <c r="F6" s="72" t="s">
        <v>127</v>
      </c>
      <c r="G6" s="73" t="s">
        <v>168</v>
      </c>
      <c r="H6" s="72" t="s">
        <v>169</v>
      </c>
    </row>
    <row r="7" customFormat="false" ht="45.75" hidden="false" customHeight="true" outlineLevel="0" collapsed="false">
      <c r="A7" s="72" t="s">
        <v>163</v>
      </c>
      <c r="B7" s="72" t="s">
        <v>170</v>
      </c>
      <c r="C7" s="73" t="s">
        <v>171</v>
      </c>
      <c r="D7" s="72" t="s">
        <v>172</v>
      </c>
      <c r="E7" s="72" t="s">
        <v>173</v>
      </c>
      <c r="F7" s="72" t="s">
        <v>164</v>
      </c>
      <c r="G7" s="73" t="s">
        <v>174</v>
      </c>
      <c r="H7" s="72" t="s">
        <v>169</v>
      </c>
    </row>
    <row r="8" customFormat="false" ht="34.5" hidden="false" customHeight="true" outlineLevel="0" collapsed="false">
      <c r="A8" s="72" t="s">
        <v>163</v>
      </c>
      <c r="B8" s="72" t="s">
        <v>175</v>
      </c>
      <c r="C8" s="73" t="s">
        <v>176</v>
      </c>
      <c r="D8" s="72" t="s">
        <v>177</v>
      </c>
      <c r="E8" s="72" t="s">
        <v>178</v>
      </c>
      <c r="F8" s="72" t="s">
        <v>127</v>
      </c>
      <c r="G8" s="73" t="s">
        <v>179</v>
      </c>
      <c r="H8" s="72" t="s">
        <v>169</v>
      </c>
    </row>
    <row r="9" customFormat="false" ht="34.5" hidden="false" customHeight="true" outlineLevel="0" collapsed="false">
      <c r="A9" s="72" t="s">
        <v>163</v>
      </c>
      <c r="B9" s="72" t="s">
        <v>180</v>
      </c>
      <c r="C9" s="73" t="s">
        <v>181</v>
      </c>
      <c r="D9" s="72" t="s">
        <v>177</v>
      </c>
      <c r="E9" s="72" t="s">
        <v>182</v>
      </c>
      <c r="F9" s="72" t="s">
        <v>127</v>
      </c>
      <c r="G9" s="73" t="s">
        <v>183</v>
      </c>
      <c r="H9" s="72" t="s">
        <v>169</v>
      </c>
    </row>
    <row r="10" customFormat="false" ht="21.75" hidden="false" customHeight="true" outlineLevel="0" collapsed="false">
      <c r="A10" s="71" t="s">
        <v>184</v>
      </c>
      <c r="B10" s="71"/>
      <c r="C10" s="71"/>
      <c r="D10" s="71"/>
      <c r="E10" s="71"/>
      <c r="F10" s="71"/>
      <c r="G10" s="71"/>
      <c r="H10" s="71"/>
    </row>
    <row r="11" customFormat="false" ht="45.75" hidden="false" customHeight="true" outlineLevel="0" collapsed="false">
      <c r="A11" s="72" t="s">
        <v>185</v>
      </c>
      <c r="B11" s="72" t="s">
        <v>186</v>
      </c>
      <c r="C11" s="73" t="s">
        <v>187</v>
      </c>
      <c r="D11" s="72" t="s">
        <v>172</v>
      </c>
      <c r="E11" s="72" t="s">
        <v>173</v>
      </c>
      <c r="F11" s="72" t="s">
        <v>170</v>
      </c>
      <c r="G11" s="73" t="s">
        <v>188</v>
      </c>
      <c r="H11" s="72" t="s">
        <v>169</v>
      </c>
    </row>
    <row r="12" customFormat="false" ht="23.25" hidden="false" customHeight="true" outlineLevel="0" collapsed="false">
      <c r="A12" s="72" t="s">
        <v>185</v>
      </c>
      <c r="B12" s="72" t="s">
        <v>189</v>
      </c>
      <c r="C12" s="73" t="s">
        <v>190</v>
      </c>
      <c r="D12" s="72" t="s">
        <v>172</v>
      </c>
      <c r="E12" s="72" t="s">
        <v>167</v>
      </c>
      <c r="F12" s="72" t="s">
        <v>170</v>
      </c>
      <c r="G12" s="73" t="s">
        <v>191</v>
      </c>
      <c r="H12" s="72" t="s">
        <v>169</v>
      </c>
    </row>
    <row r="13" customFormat="false" ht="23.25" hidden="false" customHeight="true" outlineLevel="0" collapsed="false">
      <c r="A13" s="72" t="s">
        <v>185</v>
      </c>
      <c r="B13" s="72" t="s">
        <v>192</v>
      </c>
      <c r="C13" s="73" t="s">
        <v>193</v>
      </c>
      <c r="D13" s="72" t="s">
        <v>172</v>
      </c>
      <c r="E13" s="72" t="s">
        <v>173</v>
      </c>
      <c r="F13" s="72" t="s">
        <v>194</v>
      </c>
      <c r="G13" s="73" t="s">
        <v>195</v>
      </c>
      <c r="H13" s="72" t="s">
        <v>169</v>
      </c>
    </row>
    <row r="14" customFormat="false" ht="23.25" hidden="false" customHeight="true" outlineLevel="0" collapsed="false">
      <c r="A14" s="72" t="s">
        <v>185</v>
      </c>
      <c r="B14" s="72" t="s">
        <v>196</v>
      </c>
      <c r="C14" s="73" t="s">
        <v>197</v>
      </c>
      <c r="D14" s="72" t="s">
        <v>172</v>
      </c>
      <c r="E14" s="72" t="s">
        <v>178</v>
      </c>
      <c r="F14" s="72" t="s">
        <v>198</v>
      </c>
      <c r="G14" s="73" t="s">
        <v>199</v>
      </c>
      <c r="H14" s="72" t="s">
        <v>169</v>
      </c>
    </row>
    <row r="15" customFormat="false" ht="21.75" hidden="false" customHeight="true" outlineLevel="0" collapsed="false">
      <c r="A15" s="71" t="s">
        <v>200</v>
      </c>
      <c r="B15" s="71"/>
      <c r="C15" s="71"/>
      <c r="D15" s="71"/>
      <c r="E15" s="71"/>
      <c r="F15" s="71"/>
      <c r="G15" s="71"/>
      <c r="H15" s="71"/>
    </row>
    <row r="16" customFormat="false" ht="23.25" hidden="false" customHeight="true" outlineLevel="0" collapsed="false">
      <c r="A16" s="72" t="s">
        <v>201</v>
      </c>
      <c r="B16" s="72" t="s">
        <v>202</v>
      </c>
      <c r="C16" s="73" t="s">
        <v>203</v>
      </c>
      <c r="D16" s="72" t="s">
        <v>172</v>
      </c>
      <c r="E16" s="72" t="s">
        <v>178</v>
      </c>
      <c r="F16" s="72" t="s">
        <v>170</v>
      </c>
      <c r="G16" s="73" t="s">
        <v>204</v>
      </c>
      <c r="H16" s="72" t="s">
        <v>169</v>
      </c>
    </row>
    <row r="17" customFormat="false" ht="23.25" hidden="false" customHeight="true" outlineLevel="0" collapsed="false">
      <c r="A17" s="72" t="s">
        <v>201</v>
      </c>
      <c r="B17" s="72" t="s">
        <v>205</v>
      </c>
      <c r="C17" s="73" t="s">
        <v>206</v>
      </c>
      <c r="D17" s="72" t="s">
        <v>172</v>
      </c>
      <c r="E17" s="72" t="s">
        <v>178</v>
      </c>
      <c r="F17" s="72" t="s">
        <v>207</v>
      </c>
      <c r="G17" s="73" t="s">
        <v>208</v>
      </c>
      <c r="H17" s="72" t="s">
        <v>169</v>
      </c>
    </row>
    <row r="18" customFormat="false" ht="68.25" hidden="false" customHeight="true" outlineLevel="0" collapsed="false">
      <c r="A18" s="72" t="s">
        <v>201</v>
      </c>
      <c r="B18" s="72" t="s">
        <v>209</v>
      </c>
      <c r="C18" s="73" t="s">
        <v>210</v>
      </c>
      <c r="D18" s="72" t="s">
        <v>172</v>
      </c>
      <c r="E18" s="72" t="s">
        <v>211</v>
      </c>
      <c r="F18" s="72" t="s">
        <v>170</v>
      </c>
      <c r="G18" s="73" t="s">
        <v>212</v>
      </c>
      <c r="H18" s="72" t="s">
        <v>169</v>
      </c>
    </row>
    <row r="19" customFormat="false" ht="23.25" hidden="false" customHeight="true" outlineLevel="0" collapsed="false">
      <c r="A19" s="72" t="s">
        <v>201</v>
      </c>
      <c r="B19" s="72" t="s">
        <v>213</v>
      </c>
      <c r="C19" s="73" t="s">
        <v>214</v>
      </c>
      <c r="D19" s="72" t="s">
        <v>172</v>
      </c>
      <c r="E19" s="72" t="s">
        <v>215</v>
      </c>
      <c r="F19" s="72" t="s">
        <v>216</v>
      </c>
      <c r="G19" s="73" t="s">
        <v>199</v>
      </c>
      <c r="H19" s="72" t="s">
        <v>169</v>
      </c>
    </row>
    <row r="20" customFormat="false" ht="57" hidden="false" customHeight="true" outlineLevel="0" collapsed="false">
      <c r="A20" s="72" t="s">
        <v>201</v>
      </c>
      <c r="B20" s="72" t="s">
        <v>217</v>
      </c>
      <c r="C20" s="73" t="s">
        <v>218</v>
      </c>
      <c r="D20" s="72" t="s">
        <v>166</v>
      </c>
      <c r="E20" s="72" t="s">
        <v>219</v>
      </c>
      <c r="F20" s="72" t="s">
        <v>213</v>
      </c>
      <c r="G20" s="73" t="s">
        <v>220</v>
      </c>
      <c r="H20" s="72" t="s">
        <v>169</v>
      </c>
    </row>
    <row r="21" customFormat="false" ht="21.75" hidden="false" customHeight="true" outlineLevel="0" collapsed="false">
      <c r="A21" s="71" t="s">
        <v>221</v>
      </c>
      <c r="B21" s="71"/>
      <c r="C21" s="71"/>
      <c r="D21" s="71"/>
      <c r="E21" s="71"/>
      <c r="F21" s="71"/>
      <c r="G21" s="71"/>
      <c r="H21" s="71"/>
    </row>
    <row r="22" customFormat="false" ht="45.75" hidden="false" customHeight="true" outlineLevel="0" collapsed="false">
      <c r="A22" s="72" t="s">
        <v>222</v>
      </c>
      <c r="B22" s="72" t="s">
        <v>223</v>
      </c>
      <c r="C22" s="73" t="s">
        <v>224</v>
      </c>
      <c r="D22" s="72" t="s">
        <v>225</v>
      </c>
      <c r="E22" s="72" t="s">
        <v>215</v>
      </c>
      <c r="F22" s="72" t="s">
        <v>226</v>
      </c>
      <c r="G22" s="73" t="s">
        <v>227</v>
      </c>
      <c r="H22" s="72" t="s">
        <v>169</v>
      </c>
    </row>
    <row r="23" customFormat="false" ht="34.5" hidden="false" customHeight="true" outlineLevel="0" collapsed="false">
      <c r="A23" s="72" t="s">
        <v>222</v>
      </c>
      <c r="B23" s="72" t="s">
        <v>228</v>
      </c>
      <c r="C23" s="73" t="s">
        <v>229</v>
      </c>
      <c r="D23" s="72" t="s">
        <v>225</v>
      </c>
      <c r="E23" s="72" t="s">
        <v>178</v>
      </c>
      <c r="F23" s="72" t="s">
        <v>223</v>
      </c>
      <c r="G23" s="73" t="s">
        <v>230</v>
      </c>
      <c r="H23" s="72" t="s">
        <v>169</v>
      </c>
    </row>
    <row r="24" customFormat="false" ht="34.5" hidden="false" customHeight="true" outlineLevel="0" collapsed="false">
      <c r="A24" s="72" t="s">
        <v>222</v>
      </c>
      <c r="B24" s="72" t="s">
        <v>231</v>
      </c>
      <c r="C24" s="73" t="s">
        <v>232</v>
      </c>
      <c r="D24" s="72" t="s">
        <v>225</v>
      </c>
      <c r="E24" s="72" t="s">
        <v>211</v>
      </c>
      <c r="F24" s="72" t="s">
        <v>233</v>
      </c>
      <c r="G24" s="73" t="s">
        <v>234</v>
      </c>
      <c r="H24" s="72" t="s">
        <v>169</v>
      </c>
    </row>
    <row r="25" customFormat="false" ht="15" hidden="false" customHeight="true" outlineLevel="0" collapsed="false">
      <c r="A25" s="72" t="s">
        <v>222</v>
      </c>
      <c r="B25" s="72" t="s">
        <v>235</v>
      </c>
      <c r="C25" s="73" t="s">
        <v>236</v>
      </c>
      <c r="D25" s="72" t="s">
        <v>225</v>
      </c>
      <c r="E25" s="72" t="s">
        <v>178</v>
      </c>
      <c r="F25" s="72" t="s">
        <v>231</v>
      </c>
      <c r="G25" s="73" t="s">
        <v>237</v>
      </c>
      <c r="H25" s="72" t="s">
        <v>169</v>
      </c>
    </row>
    <row r="26" customFormat="false" ht="21.75" hidden="false" customHeight="true" outlineLevel="0" collapsed="false">
      <c r="A26" s="71" t="s">
        <v>238</v>
      </c>
      <c r="B26" s="71"/>
      <c r="C26" s="71"/>
      <c r="D26" s="71"/>
      <c r="E26" s="71"/>
      <c r="F26" s="71"/>
      <c r="G26" s="71"/>
      <c r="H26" s="71"/>
    </row>
    <row r="27" customFormat="false" ht="68.25" hidden="false" customHeight="true" outlineLevel="0" collapsed="false">
      <c r="A27" s="72" t="s">
        <v>239</v>
      </c>
      <c r="B27" s="72" t="s">
        <v>240</v>
      </c>
      <c r="C27" s="73" t="s">
        <v>241</v>
      </c>
      <c r="D27" s="72" t="s">
        <v>242</v>
      </c>
      <c r="E27" s="72" t="s">
        <v>178</v>
      </c>
      <c r="F27" s="72" t="s">
        <v>213</v>
      </c>
      <c r="G27" s="73" t="s">
        <v>243</v>
      </c>
      <c r="H27" s="72" t="s">
        <v>169</v>
      </c>
    </row>
    <row r="28" customFormat="false" ht="45.75" hidden="false" customHeight="true" outlineLevel="0" collapsed="false">
      <c r="A28" s="72" t="s">
        <v>239</v>
      </c>
      <c r="B28" s="72" t="s">
        <v>244</v>
      </c>
      <c r="C28" s="73" t="s">
        <v>245</v>
      </c>
      <c r="D28" s="72" t="s">
        <v>177</v>
      </c>
      <c r="E28" s="72" t="s">
        <v>246</v>
      </c>
      <c r="F28" s="72" t="s">
        <v>240</v>
      </c>
      <c r="G28" s="73" t="s">
        <v>247</v>
      </c>
      <c r="H28" s="72" t="s">
        <v>169</v>
      </c>
    </row>
    <row r="29" customFormat="false" ht="23.25" hidden="false" customHeight="true" outlineLevel="0" collapsed="false">
      <c r="A29" s="72" t="s">
        <v>239</v>
      </c>
      <c r="B29" s="72" t="s">
        <v>248</v>
      </c>
      <c r="C29" s="73" t="s">
        <v>249</v>
      </c>
      <c r="D29" s="72" t="s">
        <v>172</v>
      </c>
      <c r="E29" s="72" t="s">
        <v>250</v>
      </c>
      <c r="F29" s="72" t="s">
        <v>244</v>
      </c>
      <c r="G29" s="73" t="s">
        <v>251</v>
      </c>
      <c r="H29" s="72" t="s">
        <v>169</v>
      </c>
    </row>
    <row r="30" customFormat="false" ht="23.25" hidden="false" customHeight="true" outlineLevel="0" collapsed="false">
      <c r="A30" s="72" t="s">
        <v>239</v>
      </c>
      <c r="B30" s="72" t="s">
        <v>252</v>
      </c>
      <c r="C30" s="73" t="s">
        <v>253</v>
      </c>
      <c r="D30" s="72" t="s">
        <v>177</v>
      </c>
      <c r="E30" s="72" t="s">
        <v>254</v>
      </c>
      <c r="F30" s="72" t="s">
        <v>248</v>
      </c>
      <c r="G30" s="73" t="s">
        <v>255</v>
      </c>
      <c r="H30" s="72" t="s">
        <v>169</v>
      </c>
    </row>
    <row r="31" customFormat="false" ht="45.75" hidden="false" customHeight="true" outlineLevel="0" collapsed="false">
      <c r="A31" s="72" t="s">
        <v>239</v>
      </c>
      <c r="B31" s="72" t="s">
        <v>256</v>
      </c>
      <c r="C31" s="73" t="s">
        <v>257</v>
      </c>
      <c r="D31" s="72" t="s">
        <v>225</v>
      </c>
      <c r="E31" s="72" t="s">
        <v>250</v>
      </c>
      <c r="F31" s="72" t="s">
        <v>235</v>
      </c>
      <c r="G31" s="73" t="s">
        <v>258</v>
      </c>
      <c r="H31" s="72" t="s">
        <v>169</v>
      </c>
    </row>
    <row r="32" customFormat="false" ht="34.5" hidden="false" customHeight="true" outlineLevel="0" collapsed="false">
      <c r="A32" s="72" t="s">
        <v>239</v>
      </c>
      <c r="B32" s="72" t="s">
        <v>259</v>
      </c>
      <c r="C32" s="73" t="s">
        <v>260</v>
      </c>
      <c r="D32" s="72" t="s">
        <v>242</v>
      </c>
      <c r="E32" s="72" t="s">
        <v>178</v>
      </c>
      <c r="F32" s="72" t="s">
        <v>196</v>
      </c>
      <c r="G32" s="73" t="s">
        <v>261</v>
      </c>
      <c r="H32" s="72" t="s">
        <v>169</v>
      </c>
    </row>
    <row r="33" customFormat="false" ht="21.75" hidden="false" customHeight="true" outlineLevel="0" collapsed="false">
      <c r="A33" s="71" t="s">
        <v>262</v>
      </c>
      <c r="B33" s="71"/>
      <c r="C33" s="71"/>
      <c r="D33" s="71"/>
      <c r="E33" s="71"/>
      <c r="F33" s="71"/>
      <c r="G33" s="71"/>
      <c r="H33" s="71"/>
    </row>
    <row r="34" customFormat="false" ht="45.75" hidden="false" customHeight="true" outlineLevel="0" collapsed="false">
      <c r="A34" s="72" t="s">
        <v>263</v>
      </c>
      <c r="B34" s="72" t="s">
        <v>264</v>
      </c>
      <c r="C34" s="73" t="s">
        <v>265</v>
      </c>
      <c r="D34" s="72" t="s">
        <v>177</v>
      </c>
      <c r="E34" s="72" t="s">
        <v>167</v>
      </c>
      <c r="F34" s="72" t="s">
        <v>266</v>
      </c>
      <c r="G34" s="73" t="s">
        <v>267</v>
      </c>
      <c r="H34" s="72" t="s">
        <v>169</v>
      </c>
    </row>
    <row r="35" customFormat="false" ht="34.5" hidden="false" customHeight="true" outlineLevel="0" collapsed="false">
      <c r="A35" s="72" t="s">
        <v>263</v>
      </c>
      <c r="B35" s="72" t="s">
        <v>268</v>
      </c>
      <c r="C35" s="73" t="s">
        <v>269</v>
      </c>
      <c r="D35" s="72" t="s">
        <v>166</v>
      </c>
      <c r="E35" s="72" t="s">
        <v>182</v>
      </c>
      <c r="F35" s="72" t="s">
        <v>264</v>
      </c>
      <c r="G35" s="73" t="s">
        <v>270</v>
      </c>
      <c r="H35" s="72" t="s">
        <v>169</v>
      </c>
    </row>
    <row r="36" customFormat="false" ht="34.5" hidden="false" customHeight="true" outlineLevel="0" collapsed="false">
      <c r="A36" s="72" t="s">
        <v>263</v>
      </c>
      <c r="B36" s="72" t="s">
        <v>271</v>
      </c>
      <c r="C36" s="73" t="s">
        <v>272</v>
      </c>
      <c r="D36" s="72" t="s">
        <v>177</v>
      </c>
      <c r="E36" s="72" t="s">
        <v>182</v>
      </c>
      <c r="F36" s="72" t="s">
        <v>264</v>
      </c>
      <c r="G36" s="73" t="s">
        <v>273</v>
      </c>
      <c r="H36" s="72" t="s">
        <v>169</v>
      </c>
    </row>
  </sheetData>
  <mergeCells count="8">
    <mergeCell ref="A1:H1"/>
    <mergeCell ref="A2:H2"/>
    <mergeCell ref="A5:H5"/>
    <mergeCell ref="A10:H10"/>
    <mergeCell ref="A15:H15"/>
    <mergeCell ref="A21:H21"/>
    <mergeCell ref="A26:H26"/>
    <mergeCell ref="A33:H33"/>
  </mergeCells>
  <printOptions headings="false" gridLines="false" gridLinesSet="true" horizontalCentered="fals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68" width="26"/>
    <col collapsed="false" customWidth="true" hidden="false" outlineLevel="0" max="2" min="2" style="68" width="30"/>
    <col collapsed="false" customWidth="true" hidden="false" outlineLevel="0" max="3" min="3" style="68" width="28"/>
    <col collapsed="false" customWidth="true" hidden="false" outlineLevel="0" max="4" min="4" style="68" width="30"/>
    <col collapsed="false" customWidth="true" hidden="false" outlineLevel="0" max="5" min="5" style="68" width="18"/>
    <col collapsed="false" customWidth="true" hidden="false" outlineLevel="0" max="6" min="6" style="68" width="26"/>
  </cols>
  <sheetData>
    <row r="1" customFormat="false" ht="24" hidden="false" customHeight="true" outlineLevel="0" collapsed="false">
      <c r="A1" s="74" t="s">
        <v>274</v>
      </c>
      <c r="B1" s="74"/>
      <c r="C1" s="74"/>
      <c r="D1" s="74"/>
      <c r="E1" s="74"/>
      <c r="F1" s="74"/>
    </row>
    <row r="3" customFormat="false" ht="30" hidden="false" customHeight="true" outlineLevel="0" collapsed="false">
      <c r="A3" s="9" t="s">
        <v>275</v>
      </c>
      <c r="B3" s="9" t="s">
        <v>276</v>
      </c>
      <c r="C3" s="9" t="s">
        <v>277</v>
      </c>
      <c r="D3" s="9" t="s">
        <v>278</v>
      </c>
      <c r="E3" s="9" t="s">
        <v>279</v>
      </c>
      <c r="F3" s="9" t="s">
        <v>280</v>
      </c>
    </row>
    <row r="4" customFormat="false" ht="60" hidden="false" customHeight="true" outlineLevel="0" collapsed="false">
      <c r="A4" s="73" t="s">
        <v>281</v>
      </c>
      <c r="B4" s="73" t="s">
        <v>282</v>
      </c>
      <c r="C4" s="73" t="s">
        <v>283</v>
      </c>
      <c r="D4" s="73" t="s">
        <v>284</v>
      </c>
      <c r="E4" s="72" t="s">
        <v>285</v>
      </c>
      <c r="F4" s="73" t="s">
        <v>286</v>
      </c>
    </row>
    <row r="5" customFormat="false" ht="60" hidden="false" customHeight="true" outlineLevel="0" collapsed="false">
      <c r="A5" s="73" t="s">
        <v>287</v>
      </c>
      <c r="B5" s="73" t="s">
        <v>288</v>
      </c>
      <c r="C5" s="73" t="s">
        <v>289</v>
      </c>
      <c r="D5" s="73" t="s">
        <v>290</v>
      </c>
      <c r="E5" s="72" t="s">
        <v>291</v>
      </c>
      <c r="F5" s="73" t="s">
        <v>292</v>
      </c>
    </row>
    <row r="6" customFormat="false" ht="60" hidden="false" customHeight="true" outlineLevel="0" collapsed="false">
      <c r="A6" s="73" t="s">
        <v>293</v>
      </c>
      <c r="B6" s="73" t="s">
        <v>294</v>
      </c>
      <c r="C6" s="73" t="s">
        <v>295</v>
      </c>
      <c r="D6" s="73" t="s">
        <v>296</v>
      </c>
      <c r="E6" s="72" t="s">
        <v>297</v>
      </c>
      <c r="F6" s="73" t="s">
        <v>298</v>
      </c>
    </row>
    <row r="7" customFormat="false" ht="60" hidden="false" customHeight="true" outlineLevel="0" collapsed="false">
      <c r="A7" s="73" t="s">
        <v>299</v>
      </c>
      <c r="B7" s="73" t="s">
        <v>300</v>
      </c>
      <c r="C7" s="73" t="s">
        <v>301</v>
      </c>
      <c r="D7" s="73" t="s">
        <v>302</v>
      </c>
      <c r="E7" s="72" t="s">
        <v>303</v>
      </c>
      <c r="F7" s="73" t="s">
        <v>304</v>
      </c>
    </row>
    <row r="8" customFormat="false" ht="60" hidden="false" customHeight="true" outlineLevel="0" collapsed="false">
      <c r="A8" s="73" t="s">
        <v>305</v>
      </c>
      <c r="B8" s="73" t="s">
        <v>306</v>
      </c>
      <c r="C8" s="73" t="s">
        <v>307</v>
      </c>
      <c r="D8" s="73" t="s">
        <v>308</v>
      </c>
      <c r="E8" s="72" t="s">
        <v>309</v>
      </c>
      <c r="F8" s="73" t="s">
        <v>310</v>
      </c>
    </row>
    <row r="9" customFormat="false" ht="60" hidden="false" customHeight="true" outlineLevel="0" collapsed="false">
      <c r="A9" s="73" t="s">
        <v>311</v>
      </c>
      <c r="B9" s="73" t="s">
        <v>312</v>
      </c>
      <c r="C9" s="73" t="s">
        <v>313</v>
      </c>
      <c r="D9" s="73" t="s">
        <v>314</v>
      </c>
      <c r="E9" s="72" t="s">
        <v>315</v>
      </c>
      <c r="F9" s="73" t="s">
        <v>316</v>
      </c>
    </row>
    <row r="10" customFormat="false" ht="60" hidden="false" customHeight="true" outlineLevel="0" collapsed="false">
      <c r="A10" s="73" t="s">
        <v>317</v>
      </c>
      <c r="B10" s="73" t="s">
        <v>318</v>
      </c>
      <c r="C10" s="73" t="s">
        <v>319</v>
      </c>
      <c r="D10" s="73" t="s">
        <v>320</v>
      </c>
      <c r="E10" s="72" t="s">
        <v>321</v>
      </c>
      <c r="F10" s="73" t="s">
        <v>322</v>
      </c>
    </row>
    <row r="11" customFormat="false" ht="60" hidden="false" customHeight="true" outlineLevel="0" collapsed="false">
      <c r="A11" s="73" t="s">
        <v>323</v>
      </c>
      <c r="B11" s="73" t="s">
        <v>324</v>
      </c>
      <c r="C11" s="73" t="s">
        <v>325</v>
      </c>
      <c r="D11" s="73" t="s">
        <v>326</v>
      </c>
      <c r="E11" s="72" t="s">
        <v>327</v>
      </c>
      <c r="F11" s="73" t="s">
        <v>328</v>
      </c>
    </row>
  </sheetData>
  <mergeCells count="1">
    <mergeCell ref="A1:F1"/>
  </mergeCells>
  <printOptions headings="false" gridLines="false" gridLinesSet="true" horizontalCentered="fals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68" width="26"/>
    <col collapsed="false" customWidth="true" hidden="false" outlineLevel="0" max="3" min="3" style="68" width="34"/>
    <col collapsed="false" customWidth="true" hidden="false" outlineLevel="0" max="4" min="4" style="68" width="16"/>
    <col collapsed="false" customWidth="true" hidden="false" outlineLevel="0" max="5" min="5" style="68" width="40"/>
  </cols>
  <sheetData>
    <row r="1" customFormat="false" ht="24" hidden="false" customHeight="true" outlineLevel="0" collapsed="false">
      <c r="A1" s="74" t="s">
        <v>329</v>
      </c>
      <c r="B1" s="74"/>
      <c r="C1" s="74"/>
      <c r="D1" s="74"/>
      <c r="E1" s="74"/>
    </row>
    <row r="3" customFormat="false" ht="30" hidden="false" customHeight="true" outlineLevel="0" collapsed="false">
      <c r="A3" s="9" t="s">
        <v>330</v>
      </c>
      <c r="B3" s="9" t="s">
        <v>331</v>
      </c>
      <c r="C3" s="9" t="s">
        <v>332</v>
      </c>
      <c r="D3" s="9" t="s">
        <v>333</v>
      </c>
      <c r="E3" s="9" t="s">
        <v>334</v>
      </c>
    </row>
    <row r="4" customFormat="false" ht="42" hidden="false" customHeight="true" outlineLevel="0" collapsed="false">
      <c r="A4" s="72" t="s">
        <v>335</v>
      </c>
      <c r="B4" s="73" t="s">
        <v>336</v>
      </c>
      <c r="C4" s="73" t="s">
        <v>337</v>
      </c>
      <c r="D4" s="72" t="s">
        <v>338</v>
      </c>
      <c r="E4" s="73" t="s">
        <v>339</v>
      </c>
    </row>
    <row r="5" customFormat="false" ht="42" hidden="false" customHeight="true" outlineLevel="0" collapsed="false">
      <c r="A5" s="72" t="s">
        <v>340</v>
      </c>
      <c r="B5" s="73" t="s">
        <v>341</v>
      </c>
      <c r="C5" s="73" t="s">
        <v>342</v>
      </c>
      <c r="D5" s="72" t="s">
        <v>338</v>
      </c>
      <c r="E5" s="73" t="s">
        <v>343</v>
      </c>
    </row>
    <row r="6" customFormat="false" ht="42" hidden="false" customHeight="true" outlineLevel="0" collapsed="false">
      <c r="A6" s="72" t="s">
        <v>344</v>
      </c>
      <c r="B6" s="73" t="s">
        <v>345</v>
      </c>
      <c r="C6" s="73" t="s">
        <v>346</v>
      </c>
      <c r="D6" s="72" t="s">
        <v>338</v>
      </c>
      <c r="E6" s="73" t="s">
        <v>347</v>
      </c>
    </row>
    <row r="7" customFormat="false" ht="42" hidden="false" customHeight="true" outlineLevel="0" collapsed="false">
      <c r="A7" s="72" t="s">
        <v>348</v>
      </c>
      <c r="B7" s="73" t="s">
        <v>349</v>
      </c>
      <c r="C7" s="73" t="s">
        <v>350</v>
      </c>
      <c r="D7" s="72" t="s">
        <v>351</v>
      </c>
      <c r="E7" s="73" t="s">
        <v>352</v>
      </c>
    </row>
    <row r="8" customFormat="false" ht="42" hidden="false" customHeight="true" outlineLevel="0" collapsed="false">
      <c r="A8" s="72" t="s">
        <v>353</v>
      </c>
      <c r="B8" s="73" t="s">
        <v>354</v>
      </c>
      <c r="C8" s="73" t="s">
        <v>355</v>
      </c>
      <c r="D8" s="72" t="s">
        <v>338</v>
      </c>
      <c r="E8" s="73" t="s">
        <v>356</v>
      </c>
    </row>
    <row r="9" customFormat="false" ht="42" hidden="false" customHeight="true" outlineLevel="0" collapsed="false">
      <c r="A9" s="72" t="s">
        <v>357</v>
      </c>
      <c r="B9" s="73" t="s">
        <v>354</v>
      </c>
      <c r="C9" s="73" t="s">
        <v>358</v>
      </c>
      <c r="D9" s="72" t="s">
        <v>359</v>
      </c>
      <c r="E9" s="73" t="s">
        <v>360</v>
      </c>
    </row>
    <row r="10" customFormat="false" ht="42" hidden="false" customHeight="true" outlineLevel="0" collapsed="false">
      <c r="A10" s="72" t="s">
        <v>361</v>
      </c>
      <c r="B10" s="73" t="s">
        <v>362</v>
      </c>
      <c r="C10" s="73" t="s">
        <v>363</v>
      </c>
      <c r="D10" s="72" t="s">
        <v>338</v>
      </c>
      <c r="E10" s="73" t="s">
        <v>364</v>
      </c>
    </row>
    <row r="12" customFormat="false" ht="15" hidden="false" customHeight="true" outlineLevel="0" collapsed="false">
      <c r="A12" s="75" t="s">
        <v>365</v>
      </c>
      <c r="B12" s="75"/>
      <c r="C12" s="75"/>
      <c r="D12" s="75"/>
      <c r="E12" s="75"/>
    </row>
  </sheetData>
  <mergeCells count="2">
    <mergeCell ref="A1:E1"/>
    <mergeCell ref="A12:E12"/>
  </mergeCells>
  <printOptions headings="false" gridLines="false" gridLinesSet="true" horizontalCentered="fals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W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68" width="7"/>
    <col collapsed="false" customWidth="true" hidden="false" outlineLevel="0" max="2" min="2" style="68" width="40"/>
    <col collapsed="false" customWidth="true" hidden="false" outlineLevel="0" max="3" min="3" style="68" width="20"/>
    <col collapsed="false" customWidth="true" hidden="false" outlineLevel="0" max="4" min="4" style="68" width="15"/>
    <col collapsed="false" customWidth="true" hidden="false" outlineLevel="0" max="5" min="5" style="68" width="9"/>
    <col collapsed="false" customWidth="true" hidden="false" outlineLevel="0" max="23" min="6" style="68" width="3.2"/>
  </cols>
  <sheetData>
    <row r="1" customFormat="false" ht="24" hidden="false" customHeight="true" outlineLevel="0" collapsed="false">
      <c r="A1" s="74" t="s">
        <v>366</v>
      </c>
      <c r="B1" s="74"/>
      <c r="C1" s="74"/>
      <c r="D1" s="74"/>
      <c r="E1" s="74"/>
      <c r="F1" s="74"/>
      <c r="G1" s="74"/>
      <c r="H1" s="74"/>
      <c r="I1" s="74"/>
      <c r="J1" s="74"/>
      <c r="K1" s="74"/>
      <c r="L1" s="74"/>
      <c r="M1" s="74"/>
      <c r="N1" s="74"/>
      <c r="O1" s="74"/>
      <c r="P1" s="74"/>
      <c r="Q1" s="74"/>
      <c r="R1" s="74"/>
      <c r="S1" s="74"/>
      <c r="T1" s="74"/>
      <c r="U1" s="74"/>
      <c r="V1" s="74"/>
      <c r="W1" s="74"/>
    </row>
    <row r="2" customFormat="false" ht="25.5" hidden="false" customHeight="true" outlineLevel="0" collapsed="false">
      <c r="A2" s="2" t="s">
        <v>367</v>
      </c>
      <c r="B2" s="2"/>
      <c r="C2" s="2"/>
      <c r="D2" s="2"/>
      <c r="E2" s="2"/>
      <c r="F2" s="2"/>
      <c r="G2" s="2"/>
      <c r="H2" s="2"/>
      <c r="I2" s="2"/>
      <c r="J2" s="2"/>
      <c r="K2" s="2"/>
      <c r="L2" s="2"/>
      <c r="M2" s="2"/>
      <c r="N2" s="2"/>
      <c r="O2" s="2"/>
      <c r="P2" s="2"/>
      <c r="Q2" s="2"/>
      <c r="R2" s="2"/>
      <c r="S2" s="2"/>
      <c r="T2" s="2"/>
      <c r="U2" s="2"/>
      <c r="V2" s="2"/>
      <c r="W2" s="2"/>
    </row>
    <row r="4" customFormat="false" ht="31.5" hidden="false" customHeight="true" outlineLevel="0" collapsed="false">
      <c r="A4" s="9" t="s">
        <v>17</v>
      </c>
      <c r="B4" s="9" t="s">
        <v>19</v>
      </c>
      <c r="C4" s="10" t="s">
        <v>142</v>
      </c>
      <c r="D4" s="10" t="s">
        <v>21</v>
      </c>
      <c r="E4" s="10" t="s">
        <v>143</v>
      </c>
      <c r="F4" s="10" t="s">
        <v>144</v>
      </c>
      <c r="G4" s="10" t="s">
        <v>145</v>
      </c>
      <c r="H4" s="10" t="s">
        <v>146</v>
      </c>
      <c r="I4" s="10" t="s">
        <v>147</v>
      </c>
      <c r="J4" s="10" t="s">
        <v>148</v>
      </c>
      <c r="K4" s="10" t="s">
        <v>149</v>
      </c>
      <c r="L4" s="10" t="s">
        <v>150</v>
      </c>
      <c r="M4" s="10" t="s">
        <v>368</v>
      </c>
      <c r="N4" s="10" t="s">
        <v>369</v>
      </c>
      <c r="O4" s="10" t="s">
        <v>370</v>
      </c>
      <c r="P4" s="10" t="s">
        <v>371</v>
      </c>
      <c r="Q4" s="10" t="s">
        <v>372</v>
      </c>
      <c r="R4" s="10" t="s">
        <v>373</v>
      </c>
      <c r="S4" s="10" t="s">
        <v>374</v>
      </c>
      <c r="T4" s="10" t="s">
        <v>375</v>
      </c>
      <c r="U4" s="10" t="s">
        <v>376</v>
      </c>
      <c r="V4" s="10" t="s">
        <v>377</v>
      </c>
      <c r="W4" s="10" t="s">
        <v>378</v>
      </c>
    </row>
    <row r="5" customFormat="false" ht="18" hidden="false" customHeight="true" outlineLevel="0" collapsed="false">
      <c r="A5" s="76" t="s">
        <v>379</v>
      </c>
      <c r="B5" s="76"/>
      <c r="C5" s="76"/>
      <c r="D5" s="76"/>
      <c r="E5" s="76"/>
      <c r="F5" s="76"/>
      <c r="G5" s="76"/>
      <c r="H5" s="76"/>
      <c r="I5" s="76"/>
      <c r="J5" s="76"/>
      <c r="K5" s="76"/>
      <c r="L5" s="76"/>
      <c r="M5" s="76"/>
      <c r="N5" s="76"/>
      <c r="O5" s="76"/>
      <c r="P5" s="76"/>
      <c r="Q5" s="76"/>
      <c r="R5" s="76"/>
      <c r="S5" s="76"/>
      <c r="T5" s="76"/>
      <c r="U5" s="76"/>
      <c r="V5" s="76"/>
      <c r="W5" s="76"/>
    </row>
    <row r="6" customFormat="false" ht="24" hidden="false" customHeight="true" outlineLevel="0" collapsed="false">
      <c r="A6" s="77" t="s">
        <v>164</v>
      </c>
      <c r="B6" s="44" t="s">
        <v>380</v>
      </c>
      <c r="C6" s="77" t="s">
        <v>31</v>
      </c>
      <c r="D6" s="45" t="s">
        <v>12</v>
      </c>
      <c r="E6" s="47" t="n">
        <v>1</v>
      </c>
      <c r="F6" s="78"/>
      <c r="G6" s="79"/>
      <c r="H6" s="79"/>
      <c r="I6" s="79"/>
      <c r="J6" s="79"/>
      <c r="K6" s="79"/>
      <c r="L6" s="79"/>
      <c r="M6" s="79"/>
      <c r="N6" s="79"/>
      <c r="O6" s="79"/>
      <c r="P6" s="79"/>
      <c r="Q6" s="79"/>
      <c r="R6" s="79"/>
      <c r="S6" s="79"/>
      <c r="T6" s="79"/>
      <c r="U6" s="79"/>
      <c r="V6" s="79"/>
      <c r="W6" s="79"/>
    </row>
    <row r="7" customFormat="false" ht="24" hidden="false" customHeight="true" outlineLevel="0" collapsed="false">
      <c r="A7" s="77" t="s">
        <v>170</v>
      </c>
      <c r="B7" s="44" t="s">
        <v>381</v>
      </c>
      <c r="C7" s="77" t="s">
        <v>37</v>
      </c>
      <c r="D7" s="46" t="s">
        <v>10</v>
      </c>
      <c r="E7" s="47" t="n">
        <v>2</v>
      </c>
      <c r="F7" s="78"/>
      <c r="G7" s="78"/>
      <c r="H7" s="79"/>
      <c r="I7" s="79"/>
      <c r="J7" s="79"/>
      <c r="K7" s="79"/>
      <c r="L7" s="79"/>
      <c r="M7" s="79"/>
      <c r="N7" s="79"/>
      <c r="O7" s="79"/>
      <c r="P7" s="79"/>
      <c r="Q7" s="79"/>
      <c r="R7" s="79"/>
      <c r="S7" s="79"/>
      <c r="T7" s="79"/>
      <c r="U7" s="79"/>
      <c r="V7" s="79"/>
      <c r="W7" s="79"/>
    </row>
    <row r="8" customFormat="false" ht="24" hidden="false" customHeight="true" outlineLevel="0" collapsed="false">
      <c r="A8" s="77" t="s">
        <v>175</v>
      </c>
      <c r="B8" s="44" t="s">
        <v>382</v>
      </c>
      <c r="C8" s="77" t="s">
        <v>383</v>
      </c>
      <c r="D8" s="49" t="s">
        <v>14</v>
      </c>
      <c r="E8" s="47" t="n">
        <v>2</v>
      </c>
      <c r="F8" s="78"/>
      <c r="G8" s="78"/>
      <c r="H8" s="79"/>
      <c r="I8" s="79"/>
      <c r="J8" s="79"/>
      <c r="K8" s="79"/>
      <c r="L8" s="79"/>
      <c r="M8" s="79"/>
      <c r="N8" s="79"/>
      <c r="O8" s="79"/>
      <c r="P8" s="79"/>
      <c r="Q8" s="79"/>
      <c r="R8" s="79"/>
      <c r="S8" s="79"/>
      <c r="T8" s="79"/>
      <c r="U8" s="79"/>
      <c r="V8" s="79"/>
      <c r="W8" s="79"/>
    </row>
    <row r="9" customFormat="false" ht="24" hidden="false" customHeight="true" outlineLevel="0" collapsed="false">
      <c r="A9" s="77" t="s">
        <v>180</v>
      </c>
      <c r="B9" s="44" t="s">
        <v>384</v>
      </c>
      <c r="C9" s="77" t="s">
        <v>383</v>
      </c>
      <c r="D9" s="49" t="s">
        <v>14</v>
      </c>
      <c r="E9" s="47" t="n">
        <v>1</v>
      </c>
      <c r="F9" s="78"/>
      <c r="G9" s="79"/>
      <c r="H9" s="79"/>
      <c r="I9" s="79"/>
      <c r="J9" s="79"/>
      <c r="K9" s="79"/>
      <c r="L9" s="79"/>
      <c r="M9" s="79"/>
      <c r="N9" s="79"/>
      <c r="O9" s="79"/>
      <c r="P9" s="79"/>
      <c r="Q9" s="79"/>
      <c r="R9" s="79"/>
      <c r="S9" s="79"/>
      <c r="T9" s="79"/>
      <c r="U9" s="79"/>
      <c r="V9" s="79"/>
      <c r="W9" s="79"/>
    </row>
    <row r="10" customFormat="false" ht="18" hidden="false" customHeight="true" outlineLevel="0" collapsed="false">
      <c r="A10" s="76" t="s">
        <v>385</v>
      </c>
      <c r="B10" s="76"/>
      <c r="C10" s="76"/>
      <c r="D10" s="76"/>
      <c r="E10" s="76"/>
      <c r="F10" s="76"/>
      <c r="G10" s="76"/>
      <c r="H10" s="76"/>
      <c r="I10" s="76"/>
      <c r="J10" s="76"/>
      <c r="K10" s="76"/>
      <c r="L10" s="76"/>
      <c r="M10" s="76"/>
      <c r="N10" s="76"/>
      <c r="O10" s="76"/>
      <c r="P10" s="76"/>
      <c r="Q10" s="76"/>
      <c r="R10" s="76"/>
      <c r="S10" s="76"/>
      <c r="T10" s="76"/>
      <c r="U10" s="76"/>
      <c r="V10" s="76"/>
      <c r="W10" s="76"/>
    </row>
    <row r="11" customFormat="false" ht="24" hidden="false" customHeight="true" outlineLevel="0" collapsed="false">
      <c r="A11" s="77" t="s">
        <v>186</v>
      </c>
      <c r="B11" s="44" t="s">
        <v>386</v>
      </c>
      <c r="C11" s="77" t="s">
        <v>37</v>
      </c>
      <c r="D11" s="46" t="s">
        <v>10</v>
      </c>
      <c r="E11" s="47" t="n">
        <v>2</v>
      </c>
      <c r="F11" s="79"/>
      <c r="G11" s="80"/>
      <c r="H11" s="80"/>
      <c r="I11" s="79"/>
      <c r="J11" s="79"/>
      <c r="K11" s="79"/>
      <c r="L11" s="79"/>
      <c r="M11" s="79"/>
      <c r="N11" s="79"/>
      <c r="O11" s="79"/>
      <c r="P11" s="79"/>
      <c r="Q11" s="79"/>
      <c r="R11" s="79"/>
      <c r="S11" s="79"/>
      <c r="T11" s="79"/>
      <c r="U11" s="79"/>
      <c r="V11" s="79"/>
      <c r="W11" s="79"/>
    </row>
    <row r="12" customFormat="false" ht="24" hidden="false" customHeight="true" outlineLevel="0" collapsed="false">
      <c r="A12" s="77" t="s">
        <v>189</v>
      </c>
      <c r="B12" s="44" t="s">
        <v>387</v>
      </c>
      <c r="C12" s="77" t="s">
        <v>37</v>
      </c>
      <c r="D12" s="46" t="s">
        <v>10</v>
      </c>
      <c r="E12" s="47" t="n">
        <v>2</v>
      </c>
      <c r="F12" s="79"/>
      <c r="G12" s="80"/>
      <c r="H12" s="80"/>
      <c r="I12" s="79"/>
      <c r="J12" s="79"/>
      <c r="K12" s="79"/>
      <c r="L12" s="79"/>
      <c r="M12" s="79"/>
      <c r="N12" s="79"/>
      <c r="O12" s="79"/>
      <c r="P12" s="79"/>
      <c r="Q12" s="79"/>
      <c r="R12" s="79"/>
      <c r="S12" s="79"/>
      <c r="T12" s="79"/>
      <c r="U12" s="79"/>
      <c r="V12" s="79"/>
      <c r="W12" s="79"/>
    </row>
    <row r="13" customFormat="false" ht="24" hidden="false" customHeight="true" outlineLevel="0" collapsed="false">
      <c r="A13" s="77" t="s">
        <v>192</v>
      </c>
      <c r="B13" s="44" t="s">
        <v>388</v>
      </c>
      <c r="C13" s="77" t="s">
        <v>52</v>
      </c>
      <c r="D13" s="46" t="s">
        <v>10</v>
      </c>
      <c r="E13" s="47" t="n">
        <v>2</v>
      </c>
      <c r="F13" s="79"/>
      <c r="G13" s="79"/>
      <c r="H13" s="80"/>
      <c r="I13" s="80"/>
      <c r="J13" s="79"/>
      <c r="K13" s="79"/>
      <c r="L13" s="79"/>
      <c r="M13" s="79"/>
      <c r="N13" s="79"/>
      <c r="O13" s="79"/>
      <c r="P13" s="79"/>
      <c r="Q13" s="79"/>
      <c r="R13" s="79"/>
      <c r="S13" s="79"/>
      <c r="T13" s="79"/>
      <c r="U13" s="79"/>
      <c r="V13" s="79"/>
      <c r="W13" s="79"/>
    </row>
    <row r="14" customFormat="false" ht="24" hidden="false" customHeight="true" outlineLevel="0" collapsed="false">
      <c r="A14" s="77" t="s">
        <v>196</v>
      </c>
      <c r="B14" s="44" t="s">
        <v>389</v>
      </c>
      <c r="C14" s="77" t="s">
        <v>52</v>
      </c>
      <c r="D14" s="46" t="s">
        <v>10</v>
      </c>
      <c r="E14" s="47" t="n">
        <v>2</v>
      </c>
      <c r="F14" s="79"/>
      <c r="G14" s="79"/>
      <c r="H14" s="79"/>
      <c r="I14" s="80"/>
      <c r="J14" s="80"/>
      <c r="K14" s="79"/>
      <c r="L14" s="79"/>
      <c r="M14" s="79"/>
      <c r="N14" s="79"/>
      <c r="O14" s="79"/>
      <c r="P14" s="79"/>
      <c r="Q14" s="79"/>
      <c r="R14" s="79"/>
      <c r="S14" s="79"/>
      <c r="T14" s="79"/>
      <c r="U14" s="79"/>
      <c r="V14" s="79"/>
      <c r="W14" s="79"/>
    </row>
    <row r="15" customFormat="false" ht="18" hidden="false" customHeight="true" outlineLevel="0" collapsed="false">
      <c r="A15" s="76" t="s">
        <v>390</v>
      </c>
      <c r="B15" s="76"/>
      <c r="C15" s="76"/>
      <c r="D15" s="76"/>
      <c r="E15" s="76"/>
      <c r="F15" s="76"/>
      <c r="G15" s="76"/>
      <c r="H15" s="76"/>
      <c r="I15" s="76"/>
      <c r="J15" s="76"/>
      <c r="K15" s="76"/>
      <c r="L15" s="76"/>
      <c r="M15" s="76"/>
      <c r="N15" s="76"/>
      <c r="O15" s="76"/>
      <c r="P15" s="76"/>
      <c r="Q15" s="76"/>
      <c r="R15" s="76"/>
      <c r="S15" s="76"/>
      <c r="T15" s="76"/>
      <c r="U15" s="76"/>
      <c r="V15" s="76"/>
      <c r="W15" s="76"/>
    </row>
    <row r="16" customFormat="false" ht="24" hidden="false" customHeight="true" outlineLevel="0" collapsed="false">
      <c r="A16" s="77" t="s">
        <v>202</v>
      </c>
      <c r="B16" s="44" t="s">
        <v>391</v>
      </c>
      <c r="C16" s="77" t="s">
        <v>37</v>
      </c>
      <c r="D16" s="46" t="s">
        <v>10</v>
      </c>
      <c r="E16" s="47" t="n">
        <v>3</v>
      </c>
      <c r="F16" s="79"/>
      <c r="G16" s="79"/>
      <c r="H16" s="81"/>
      <c r="I16" s="81"/>
      <c r="J16" s="81"/>
      <c r="K16" s="79"/>
      <c r="L16" s="79"/>
      <c r="M16" s="79"/>
      <c r="N16" s="79"/>
      <c r="O16" s="79"/>
      <c r="P16" s="79"/>
      <c r="Q16" s="79"/>
      <c r="R16" s="79"/>
      <c r="S16" s="79"/>
      <c r="T16" s="79"/>
      <c r="U16" s="79"/>
      <c r="V16" s="79"/>
      <c r="W16" s="79"/>
    </row>
    <row r="17" customFormat="false" ht="24" hidden="false" customHeight="true" outlineLevel="0" collapsed="false">
      <c r="A17" s="77" t="s">
        <v>205</v>
      </c>
      <c r="B17" s="44" t="s">
        <v>392</v>
      </c>
      <c r="C17" s="77" t="s">
        <v>52</v>
      </c>
      <c r="D17" s="46" t="s">
        <v>10</v>
      </c>
      <c r="E17" s="47" t="n">
        <v>3</v>
      </c>
      <c r="F17" s="79"/>
      <c r="G17" s="79"/>
      <c r="H17" s="79"/>
      <c r="I17" s="81"/>
      <c r="J17" s="81"/>
      <c r="K17" s="81"/>
      <c r="L17" s="79"/>
      <c r="M17" s="79"/>
      <c r="N17" s="79"/>
      <c r="O17" s="79"/>
      <c r="P17" s="79"/>
      <c r="Q17" s="79"/>
      <c r="R17" s="79"/>
      <c r="S17" s="79"/>
      <c r="T17" s="79"/>
      <c r="U17" s="79"/>
      <c r="V17" s="79"/>
      <c r="W17" s="79"/>
    </row>
    <row r="18" customFormat="false" ht="24" hidden="false" customHeight="true" outlineLevel="0" collapsed="false">
      <c r="A18" s="77" t="s">
        <v>209</v>
      </c>
      <c r="B18" s="44" t="s">
        <v>393</v>
      </c>
      <c r="C18" s="77" t="s">
        <v>37</v>
      </c>
      <c r="D18" s="45" t="s">
        <v>12</v>
      </c>
      <c r="E18" s="47" t="n">
        <v>3</v>
      </c>
      <c r="F18" s="79"/>
      <c r="G18" s="79"/>
      <c r="H18" s="79"/>
      <c r="I18" s="81"/>
      <c r="J18" s="81"/>
      <c r="K18" s="81"/>
      <c r="L18" s="79"/>
      <c r="M18" s="79"/>
      <c r="N18" s="79"/>
      <c r="O18" s="79"/>
      <c r="P18" s="79"/>
      <c r="Q18" s="79"/>
      <c r="R18" s="79"/>
      <c r="S18" s="79"/>
      <c r="T18" s="79"/>
      <c r="U18" s="79"/>
      <c r="V18" s="79"/>
      <c r="W18" s="79"/>
    </row>
    <row r="19" customFormat="false" ht="24" hidden="false" customHeight="true" outlineLevel="0" collapsed="false">
      <c r="A19" s="77" t="s">
        <v>213</v>
      </c>
      <c r="B19" s="44" t="s">
        <v>394</v>
      </c>
      <c r="C19" s="77" t="s">
        <v>52</v>
      </c>
      <c r="D19" s="45" t="s">
        <v>12</v>
      </c>
      <c r="E19" s="47" t="n">
        <v>3</v>
      </c>
      <c r="F19" s="79"/>
      <c r="G19" s="79"/>
      <c r="H19" s="79"/>
      <c r="I19" s="79"/>
      <c r="J19" s="79"/>
      <c r="K19" s="81"/>
      <c r="L19" s="81"/>
      <c r="M19" s="81"/>
      <c r="N19" s="79"/>
      <c r="O19" s="79"/>
      <c r="P19" s="79"/>
      <c r="Q19" s="79"/>
      <c r="R19" s="79"/>
      <c r="S19" s="79"/>
      <c r="T19" s="79"/>
      <c r="U19" s="79"/>
      <c r="V19" s="79"/>
      <c r="W19" s="79"/>
    </row>
    <row r="20" customFormat="false" ht="24" hidden="false" customHeight="true" outlineLevel="0" collapsed="false">
      <c r="A20" s="77" t="s">
        <v>217</v>
      </c>
      <c r="B20" s="44" t="s">
        <v>395</v>
      </c>
      <c r="C20" s="77" t="s">
        <v>31</v>
      </c>
      <c r="D20" s="49" t="s">
        <v>14</v>
      </c>
      <c r="E20" s="47" t="n">
        <v>2</v>
      </c>
      <c r="F20" s="79"/>
      <c r="G20" s="79"/>
      <c r="H20" s="79"/>
      <c r="I20" s="79"/>
      <c r="J20" s="79"/>
      <c r="K20" s="79"/>
      <c r="L20" s="81"/>
      <c r="M20" s="81"/>
      <c r="N20" s="79"/>
      <c r="O20" s="79"/>
      <c r="P20" s="79"/>
      <c r="Q20" s="79"/>
      <c r="R20" s="79"/>
      <c r="S20" s="79"/>
      <c r="T20" s="79"/>
      <c r="U20" s="79"/>
      <c r="V20" s="79"/>
      <c r="W20" s="79"/>
    </row>
    <row r="21" customFormat="false" ht="18" hidden="false" customHeight="true" outlineLevel="0" collapsed="false">
      <c r="A21" s="76" t="s">
        <v>396</v>
      </c>
      <c r="B21" s="76"/>
      <c r="C21" s="76"/>
      <c r="D21" s="76"/>
      <c r="E21" s="76"/>
      <c r="F21" s="76"/>
      <c r="G21" s="76"/>
      <c r="H21" s="76"/>
      <c r="I21" s="76"/>
      <c r="J21" s="76"/>
      <c r="K21" s="76"/>
      <c r="L21" s="76"/>
      <c r="M21" s="76"/>
      <c r="N21" s="76"/>
      <c r="O21" s="76"/>
      <c r="P21" s="76"/>
      <c r="Q21" s="76"/>
      <c r="R21" s="76"/>
      <c r="S21" s="76"/>
      <c r="T21" s="76"/>
      <c r="U21" s="76"/>
      <c r="V21" s="76"/>
      <c r="W21" s="76"/>
    </row>
    <row r="22" customFormat="false" ht="24" hidden="false" customHeight="true" outlineLevel="0" collapsed="false">
      <c r="A22" s="77" t="s">
        <v>223</v>
      </c>
      <c r="B22" s="44" t="s">
        <v>397</v>
      </c>
      <c r="C22" s="77" t="s">
        <v>34</v>
      </c>
      <c r="D22" s="45" t="s">
        <v>12</v>
      </c>
      <c r="E22" s="47" t="n">
        <v>4</v>
      </c>
      <c r="F22" s="79"/>
      <c r="G22" s="79"/>
      <c r="H22" s="82"/>
      <c r="I22" s="82"/>
      <c r="J22" s="82"/>
      <c r="K22" s="82"/>
      <c r="L22" s="79"/>
      <c r="M22" s="79"/>
      <c r="N22" s="79"/>
      <c r="O22" s="79"/>
      <c r="P22" s="79"/>
      <c r="Q22" s="79"/>
      <c r="R22" s="79"/>
      <c r="S22" s="79"/>
      <c r="T22" s="79"/>
      <c r="U22" s="79"/>
      <c r="V22" s="79"/>
      <c r="W22" s="79"/>
    </row>
    <row r="23" customFormat="false" ht="24" hidden="false" customHeight="true" outlineLevel="0" collapsed="false">
      <c r="A23" s="77" t="s">
        <v>228</v>
      </c>
      <c r="B23" s="44" t="s">
        <v>398</v>
      </c>
      <c r="C23" s="77" t="s">
        <v>34</v>
      </c>
      <c r="D23" s="45" t="s">
        <v>12</v>
      </c>
      <c r="E23" s="47" t="n">
        <v>2</v>
      </c>
      <c r="F23" s="79"/>
      <c r="G23" s="79"/>
      <c r="H23" s="79"/>
      <c r="I23" s="79"/>
      <c r="J23" s="79"/>
      <c r="K23" s="82"/>
      <c r="L23" s="82"/>
      <c r="M23" s="79"/>
      <c r="N23" s="79"/>
      <c r="O23" s="79"/>
      <c r="P23" s="79"/>
      <c r="Q23" s="79"/>
      <c r="R23" s="79"/>
      <c r="S23" s="79"/>
      <c r="T23" s="79"/>
      <c r="U23" s="79"/>
      <c r="V23" s="79"/>
      <c r="W23" s="79"/>
    </row>
    <row r="24" customFormat="false" ht="24" hidden="false" customHeight="true" outlineLevel="0" collapsed="false">
      <c r="A24" s="77" t="s">
        <v>231</v>
      </c>
      <c r="B24" s="44" t="s">
        <v>399</v>
      </c>
      <c r="C24" s="77" t="s">
        <v>34</v>
      </c>
      <c r="D24" s="46" t="s">
        <v>10</v>
      </c>
      <c r="E24" s="47" t="n">
        <v>3</v>
      </c>
      <c r="F24" s="79"/>
      <c r="G24" s="79"/>
      <c r="H24" s="79"/>
      <c r="I24" s="79"/>
      <c r="J24" s="79"/>
      <c r="K24" s="79"/>
      <c r="L24" s="82"/>
      <c r="M24" s="82"/>
      <c r="N24" s="82"/>
      <c r="O24" s="79"/>
      <c r="P24" s="79"/>
      <c r="Q24" s="79"/>
      <c r="R24" s="79"/>
      <c r="S24" s="79"/>
      <c r="T24" s="79"/>
      <c r="U24" s="79"/>
      <c r="V24" s="79"/>
      <c r="W24" s="79"/>
    </row>
    <row r="25" customFormat="false" ht="24" hidden="false" customHeight="true" outlineLevel="0" collapsed="false">
      <c r="A25" s="77" t="s">
        <v>235</v>
      </c>
      <c r="B25" s="44" t="s">
        <v>400</v>
      </c>
      <c r="C25" s="77" t="s">
        <v>34</v>
      </c>
      <c r="D25" s="45" t="s">
        <v>12</v>
      </c>
      <c r="E25" s="47" t="n">
        <v>2</v>
      </c>
      <c r="F25" s="79"/>
      <c r="G25" s="79"/>
      <c r="H25" s="79"/>
      <c r="I25" s="79"/>
      <c r="J25" s="79"/>
      <c r="K25" s="79"/>
      <c r="L25" s="79"/>
      <c r="M25" s="79"/>
      <c r="N25" s="82"/>
      <c r="O25" s="82"/>
      <c r="P25" s="79"/>
      <c r="Q25" s="79"/>
      <c r="R25" s="79"/>
      <c r="S25" s="79"/>
      <c r="T25" s="79"/>
      <c r="U25" s="79"/>
      <c r="V25" s="79"/>
      <c r="W25" s="79"/>
    </row>
    <row r="26" customFormat="false" ht="18" hidden="false" customHeight="true" outlineLevel="0" collapsed="false">
      <c r="A26" s="76" t="s">
        <v>401</v>
      </c>
      <c r="B26" s="76"/>
      <c r="C26" s="76"/>
      <c r="D26" s="76"/>
      <c r="E26" s="76"/>
      <c r="F26" s="76"/>
      <c r="G26" s="76"/>
      <c r="H26" s="76"/>
      <c r="I26" s="76"/>
      <c r="J26" s="76"/>
      <c r="K26" s="76"/>
      <c r="L26" s="76"/>
      <c r="M26" s="76"/>
      <c r="N26" s="76"/>
      <c r="O26" s="76"/>
      <c r="P26" s="76"/>
      <c r="Q26" s="76"/>
      <c r="R26" s="76"/>
      <c r="S26" s="76"/>
      <c r="T26" s="76"/>
      <c r="U26" s="76"/>
      <c r="V26" s="76"/>
      <c r="W26" s="76"/>
    </row>
    <row r="27" customFormat="false" ht="24" hidden="false" customHeight="true" outlineLevel="0" collapsed="false">
      <c r="A27" s="77" t="s">
        <v>240</v>
      </c>
      <c r="B27" s="44" t="s">
        <v>402</v>
      </c>
      <c r="C27" s="77" t="s">
        <v>43</v>
      </c>
      <c r="D27" s="45" t="s">
        <v>12</v>
      </c>
      <c r="E27" s="47" t="n">
        <v>2</v>
      </c>
      <c r="F27" s="79"/>
      <c r="G27" s="79"/>
      <c r="H27" s="79"/>
      <c r="I27" s="79"/>
      <c r="J27" s="79"/>
      <c r="K27" s="79"/>
      <c r="L27" s="79"/>
      <c r="M27" s="83"/>
      <c r="N27" s="83"/>
      <c r="O27" s="79"/>
      <c r="P27" s="79"/>
      <c r="Q27" s="79"/>
      <c r="R27" s="79"/>
      <c r="S27" s="79"/>
      <c r="T27" s="79"/>
      <c r="U27" s="79"/>
      <c r="V27" s="79"/>
      <c r="W27" s="79"/>
    </row>
    <row r="28" customFormat="false" ht="24" hidden="false" customHeight="true" outlineLevel="0" collapsed="false">
      <c r="A28" s="77" t="s">
        <v>244</v>
      </c>
      <c r="B28" s="44" t="s">
        <v>403</v>
      </c>
      <c r="C28" s="77" t="s">
        <v>383</v>
      </c>
      <c r="D28" s="49" t="s">
        <v>14</v>
      </c>
      <c r="E28" s="47" t="n">
        <v>4</v>
      </c>
      <c r="F28" s="79"/>
      <c r="G28" s="79"/>
      <c r="H28" s="79"/>
      <c r="I28" s="79"/>
      <c r="J28" s="79"/>
      <c r="K28" s="79"/>
      <c r="L28" s="79"/>
      <c r="M28" s="79"/>
      <c r="N28" s="83"/>
      <c r="O28" s="83"/>
      <c r="P28" s="83"/>
      <c r="Q28" s="83"/>
      <c r="R28" s="79"/>
      <c r="S28" s="79"/>
      <c r="T28" s="79"/>
      <c r="U28" s="79"/>
      <c r="V28" s="79"/>
      <c r="W28" s="79"/>
    </row>
    <row r="29" customFormat="false" ht="24" hidden="false" customHeight="true" outlineLevel="0" collapsed="false">
      <c r="A29" s="77" t="s">
        <v>248</v>
      </c>
      <c r="B29" s="44" t="s">
        <v>404</v>
      </c>
      <c r="C29" s="77" t="s">
        <v>37</v>
      </c>
      <c r="D29" s="45" t="s">
        <v>12</v>
      </c>
      <c r="E29" s="47" t="n">
        <v>6</v>
      </c>
      <c r="F29" s="79"/>
      <c r="G29" s="79"/>
      <c r="H29" s="79"/>
      <c r="I29" s="79"/>
      <c r="J29" s="79"/>
      <c r="K29" s="79"/>
      <c r="L29" s="79"/>
      <c r="M29" s="79"/>
      <c r="N29" s="79"/>
      <c r="O29" s="79"/>
      <c r="P29" s="79"/>
      <c r="Q29" s="83"/>
      <c r="R29" s="83"/>
      <c r="S29" s="83"/>
      <c r="T29" s="83"/>
      <c r="U29" s="83"/>
      <c r="V29" s="83"/>
      <c r="W29" s="79"/>
    </row>
    <row r="30" customFormat="false" ht="24" hidden="false" customHeight="true" outlineLevel="0" collapsed="false">
      <c r="A30" s="77" t="s">
        <v>252</v>
      </c>
      <c r="B30" s="44" t="s">
        <v>405</v>
      </c>
      <c r="C30" s="77" t="s">
        <v>383</v>
      </c>
      <c r="D30" s="49" t="s">
        <v>14</v>
      </c>
      <c r="E30" s="47" t="n">
        <v>2</v>
      </c>
      <c r="F30" s="79"/>
      <c r="G30" s="79"/>
      <c r="H30" s="79"/>
      <c r="I30" s="79"/>
      <c r="J30" s="79"/>
      <c r="K30" s="79"/>
      <c r="L30" s="79"/>
      <c r="M30" s="79"/>
      <c r="N30" s="79"/>
      <c r="O30" s="79"/>
      <c r="P30" s="79"/>
      <c r="Q30" s="79"/>
      <c r="R30" s="79"/>
      <c r="S30" s="79"/>
      <c r="T30" s="79"/>
      <c r="U30" s="79"/>
      <c r="V30" s="83"/>
      <c r="W30" s="83"/>
    </row>
    <row r="31" customFormat="false" ht="24" hidden="false" customHeight="true" outlineLevel="0" collapsed="false">
      <c r="A31" s="77" t="s">
        <v>256</v>
      </c>
      <c r="B31" s="44" t="s">
        <v>406</v>
      </c>
      <c r="C31" s="77" t="s">
        <v>34</v>
      </c>
      <c r="D31" s="45" t="s">
        <v>12</v>
      </c>
      <c r="E31" s="47" t="n">
        <v>5</v>
      </c>
      <c r="F31" s="79"/>
      <c r="G31" s="79"/>
      <c r="H31" s="79"/>
      <c r="I31" s="79"/>
      <c r="J31" s="79"/>
      <c r="K31" s="79"/>
      <c r="L31" s="79"/>
      <c r="M31" s="79"/>
      <c r="N31" s="79"/>
      <c r="O31" s="83"/>
      <c r="P31" s="83"/>
      <c r="Q31" s="83"/>
      <c r="R31" s="83"/>
      <c r="S31" s="83"/>
      <c r="T31" s="79"/>
      <c r="U31" s="79"/>
      <c r="V31" s="79"/>
      <c r="W31" s="79"/>
    </row>
    <row r="32" customFormat="false" ht="24" hidden="false" customHeight="true" outlineLevel="0" collapsed="false">
      <c r="A32" s="77" t="s">
        <v>259</v>
      </c>
      <c r="B32" s="44" t="s">
        <v>407</v>
      </c>
      <c r="C32" s="77" t="s">
        <v>43</v>
      </c>
      <c r="D32" s="49" t="s">
        <v>14</v>
      </c>
      <c r="E32" s="47" t="n">
        <v>2</v>
      </c>
      <c r="F32" s="79"/>
      <c r="G32" s="79"/>
      <c r="H32" s="79"/>
      <c r="I32" s="79"/>
      <c r="J32" s="79"/>
      <c r="K32" s="83"/>
      <c r="L32" s="83"/>
      <c r="M32" s="79"/>
      <c r="N32" s="79"/>
      <c r="O32" s="79"/>
      <c r="P32" s="79"/>
      <c r="Q32" s="79"/>
      <c r="R32" s="79"/>
      <c r="S32" s="79"/>
      <c r="T32" s="79"/>
      <c r="U32" s="79"/>
      <c r="V32" s="79"/>
      <c r="W32" s="79"/>
    </row>
    <row r="33" customFormat="false" ht="18" hidden="false" customHeight="true" outlineLevel="0" collapsed="false">
      <c r="A33" s="76" t="s">
        <v>408</v>
      </c>
      <c r="B33" s="76"/>
      <c r="C33" s="76"/>
      <c r="D33" s="76"/>
      <c r="E33" s="76"/>
      <c r="F33" s="76"/>
      <c r="G33" s="76"/>
      <c r="H33" s="76"/>
      <c r="I33" s="76"/>
      <c r="J33" s="76"/>
      <c r="K33" s="76"/>
      <c r="L33" s="76"/>
      <c r="M33" s="76"/>
      <c r="N33" s="76"/>
      <c r="O33" s="76"/>
      <c r="P33" s="76"/>
      <c r="Q33" s="76"/>
      <c r="R33" s="76"/>
      <c r="S33" s="76"/>
      <c r="T33" s="76"/>
      <c r="U33" s="76"/>
      <c r="V33" s="76"/>
      <c r="W33" s="76"/>
    </row>
    <row r="34" customFormat="false" ht="24" hidden="false" customHeight="true" outlineLevel="0" collapsed="false">
      <c r="A34" s="77" t="s">
        <v>264</v>
      </c>
      <c r="B34" s="44" t="s">
        <v>409</v>
      </c>
      <c r="C34" s="77" t="s">
        <v>383</v>
      </c>
      <c r="D34" s="46" t="s">
        <v>10</v>
      </c>
      <c r="E34" s="47" t="n">
        <v>2</v>
      </c>
      <c r="F34" s="79"/>
      <c r="G34" s="79"/>
      <c r="H34" s="79"/>
      <c r="I34" s="79"/>
      <c r="J34" s="79"/>
      <c r="K34" s="79"/>
      <c r="L34" s="79"/>
      <c r="M34" s="79"/>
      <c r="N34" s="79"/>
      <c r="O34" s="79"/>
      <c r="P34" s="79"/>
      <c r="Q34" s="79"/>
      <c r="R34" s="79"/>
      <c r="S34" s="79"/>
      <c r="T34" s="79"/>
      <c r="U34" s="79"/>
      <c r="V34" s="84"/>
      <c r="W34" s="84"/>
    </row>
    <row r="35" customFormat="false" ht="24" hidden="false" customHeight="true" outlineLevel="0" collapsed="false">
      <c r="A35" s="77" t="s">
        <v>268</v>
      </c>
      <c r="B35" s="44" t="s">
        <v>410</v>
      </c>
      <c r="C35" s="77" t="s">
        <v>31</v>
      </c>
      <c r="D35" s="46" t="s">
        <v>10</v>
      </c>
      <c r="E35" s="47" t="n">
        <v>1</v>
      </c>
      <c r="F35" s="79"/>
      <c r="G35" s="79"/>
      <c r="H35" s="79"/>
      <c r="I35" s="79"/>
      <c r="J35" s="79"/>
      <c r="K35" s="79"/>
      <c r="L35" s="79"/>
      <c r="M35" s="79"/>
      <c r="N35" s="79"/>
      <c r="O35" s="79"/>
      <c r="P35" s="79"/>
      <c r="Q35" s="79"/>
      <c r="R35" s="79"/>
      <c r="S35" s="79"/>
      <c r="T35" s="79"/>
      <c r="U35" s="79"/>
      <c r="V35" s="79"/>
      <c r="W35" s="84"/>
    </row>
    <row r="36" customFormat="false" ht="24" hidden="false" customHeight="true" outlineLevel="0" collapsed="false">
      <c r="A36" s="77" t="s">
        <v>271</v>
      </c>
      <c r="B36" s="44" t="s">
        <v>411</v>
      </c>
      <c r="C36" s="77" t="s">
        <v>383</v>
      </c>
      <c r="D36" s="45" t="s">
        <v>12</v>
      </c>
      <c r="E36" s="47" t="n">
        <v>1</v>
      </c>
      <c r="F36" s="79"/>
      <c r="G36" s="79"/>
      <c r="H36" s="79"/>
      <c r="I36" s="79"/>
      <c r="J36" s="79"/>
      <c r="K36" s="79"/>
      <c r="L36" s="79"/>
      <c r="M36" s="79"/>
      <c r="N36" s="79"/>
      <c r="O36" s="79"/>
      <c r="P36" s="79"/>
      <c r="Q36" s="79"/>
      <c r="R36" s="79"/>
      <c r="S36" s="79"/>
      <c r="T36" s="79"/>
      <c r="U36" s="79"/>
      <c r="V36" s="79"/>
      <c r="W36" s="84"/>
    </row>
    <row r="38" customFormat="false" ht="15" hidden="false" customHeight="true" outlineLevel="0" collapsed="false">
      <c r="A38" s="85" t="s">
        <v>412</v>
      </c>
    </row>
    <row r="39" customFormat="false" ht="15" hidden="false" customHeight="true" outlineLevel="0" collapsed="false">
      <c r="A39" s="78"/>
      <c r="B39" s="86" t="s">
        <v>379</v>
      </c>
    </row>
    <row r="40" customFormat="false" ht="15" hidden="false" customHeight="true" outlineLevel="0" collapsed="false">
      <c r="A40" s="80"/>
      <c r="B40" s="86" t="s">
        <v>385</v>
      </c>
    </row>
    <row r="41" customFormat="false" ht="15" hidden="false" customHeight="true" outlineLevel="0" collapsed="false">
      <c r="A41" s="81"/>
      <c r="B41" s="86" t="s">
        <v>390</v>
      </c>
    </row>
    <row r="42" customFormat="false" ht="15" hidden="false" customHeight="true" outlineLevel="0" collapsed="false">
      <c r="A42" s="82"/>
      <c r="B42" s="86" t="s">
        <v>396</v>
      </c>
    </row>
    <row r="43" customFormat="false" ht="15" hidden="false" customHeight="true" outlineLevel="0" collapsed="false">
      <c r="A43" s="83"/>
      <c r="B43" s="86" t="s">
        <v>401</v>
      </c>
    </row>
    <row r="44" customFormat="false" ht="15" hidden="false" customHeight="true" outlineLevel="0" collapsed="false">
      <c r="A44" s="84"/>
      <c r="B44" s="86" t="s">
        <v>408</v>
      </c>
    </row>
    <row r="46" customFormat="false" ht="15" hidden="false" customHeight="true" outlineLevel="0" collapsed="false">
      <c r="A46" s="85" t="s">
        <v>153</v>
      </c>
    </row>
    <row r="47" customFormat="false" ht="15" hidden="false" customHeight="true" outlineLevel="0" collapsed="false">
      <c r="A47" s="80"/>
      <c r="B47" s="87" t="s">
        <v>10</v>
      </c>
    </row>
    <row r="48" customFormat="false" ht="15" hidden="false" customHeight="true" outlineLevel="0" collapsed="false">
      <c r="A48" s="81"/>
      <c r="B48" s="88" t="s">
        <v>12</v>
      </c>
    </row>
    <row r="49" customFormat="false" ht="15" hidden="false" customHeight="true" outlineLevel="0" collapsed="false">
      <c r="A49" s="89"/>
      <c r="B49" s="90" t="s">
        <v>14</v>
      </c>
    </row>
  </sheetData>
  <mergeCells count="8">
    <mergeCell ref="A1:W1"/>
    <mergeCell ref="A2:W2"/>
    <mergeCell ref="A5:W5"/>
    <mergeCell ref="A10:W10"/>
    <mergeCell ref="A15:W15"/>
    <mergeCell ref="A21:W21"/>
    <mergeCell ref="A26:W26"/>
    <mergeCell ref="A33:W3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68" width="30"/>
    <col collapsed="false" customWidth="true" hidden="false" outlineLevel="0" max="2" min="2" style="68" width="24"/>
    <col collapsed="false" customWidth="true" hidden="false" outlineLevel="0" max="3" min="3" style="68" width="44"/>
    <col collapsed="false" customWidth="true" hidden="false" outlineLevel="0" max="4" min="4" style="68" width="22"/>
    <col collapsed="false" customWidth="true" hidden="false" outlineLevel="0" max="5" min="5" style="68" width="13"/>
    <col collapsed="false" customWidth="true" hidden="false" outlineLevel="0" max="7" min="6" style="68" width="14"/>
  </cols>
  <sheetData>
    <row r="1" customFormat="false" ht="24" hidden="false" customHeight="true" outlineLevel="0" collapsed="false">
      <c r="A1" s="74" t="s">
        <v>413</v>
      </c>
      <c r="B1" s="74"/>
      <c r="C1" s="74"/>
      <c r="D1" s="74"/>
      <c r="E1" s="74"/>
      <c r="F1" s="74"/>
      <c r="G1" s="74"/>
    </row>
    <row r="2" customFormat="false" ht="27.75" hidden="false" customHeight="true" outlineLevel="0" collapsed="false">
      <c r="A2" s="91" t="s">
        <v>414</v>
      </c>
      <c r="B2" s="91"/>
      <c r="C2" s="91"/>
      <c r="D2" s="91"/>
      <c r="E2" s="91"/>
      <c r="F2" s="91"/>
      <c r="G2" s="91"/>
    </row>
    <row r="4" customFormat="false" ht="15" hidden="false" customHeight="true" outlineLevel="0" collapsed="false">
      <c r="A4" s="92" t="s">
        <v>415</v>
      </c>
    </row>
    <row r="5" customFormat="false" ht="18" hidden="false" customHeight="true" outlineLevel="0" collapsed="false">
      <c r="A5" s="9" t="s">
        <v>416</v>
      </c>
      <c r="B5" s="9" t="s">
        <v>417</v>
      </c>
    </row>
    <row r="6" customFormat="false" ht="15" hidden="false" customHeight="true" outlineLevel="0" collapsed="false">
      <c r="A6" s="77" t="s">
        <v>31</v>
      </c>
      <c r="B6" s="93" t="n">
        <v>1450</v>
      </c>
    </row>
    <row r="7" customFormat="false" ht="15" hidden="false" customHeight="true" outlineLevel="0" collapsed="false">
      <c r="A7" s="77" t="s">
        <v>37</v>
      </c>
      <c r="B7" s="93" t="n">
        <v>1100</v>
      </c>
    </row>
    <row r="8" customFormat="false" ht="15" hidden="false" customHeight="true" outlineLevel="0" collapsed="false">
      <c r="A8" s="77" t="s">
        <v>52</v>
      </c>
      <c r="B8" s="93" t="n">
        <v>1100</v>
      </c>
    </row>
    <row r="9" customFormat="false" ht="15" hidden="false" customHeight="true" outlineLevel="0" collapsed="false">
      <c r="A9" s="77" t="s">
        <v>34</v>
      </c>
      <c r="B9" s="93" t="n">
        <v>1100</v>
      </c>
    </row>
    <row r="10" customFormat="false" ht="15" hidden="false" customHeight="true" outlineLevel="0" collapsed="false">
      <c r="A10" s="77" t="s">
        <v>49</v>
      </c>
      <c r="B10" s="93" t="n">
        <v>1000</v>
      </c>
    </row>
    <row r="11" customFormat="false" ht="15" hidden="false" customHeight="true" outlineLevel="0" collapsed="false">
      <c r="A11" s="77" t="s">
        <v>40</v>
      </c>
      <c r="B11" s="93" t="n">
        <v>900</v>
      </c>
    </row>
    <row r="12" customFormat="false" ht="15" hidden="false" customHeight="true" outlineLevel="0" collapsed="false">
      <c r="A12" s="77" t="s">
        <v>418</v>
      </c>
      <c r="B12" s="93" t="n">
        <v>1250</v>
      </c>
    </row>
    <row r="13" customFormat="false" ht="15" hidden="false" customHeight="true" outlineLevel="0" collapsed="false">
      <c r="A13" s="77" t="s">
        <v>43</v>
      </c>
      <c r="B13" s="93" t="n">
        <v>1300</v>
      </c>
    </row>
    <row r="14" customFormat="false" ht="15" hidden="false" customHeight="true" outlineLevel="0" collapsed="false">
      <c r="A14" s="77" t="s">
        <v>383</v>
      </c>
      <c r="B14" s="93" t="n">
        <v>1050</v>
      </c>
    </row>
    <row r="15" customFormat="false" ht="15" hidden="false" customHeight="true" outlineLevel="0" collapsed="false">
      <c r="A15" s="77" t="s">
        <v>419</v>
      </c>
      <c r="B15" s="93" t="n">
        <v>950</v>
      </c>
    </row>
    <row r="17" customFormat="false" ht="15" hidden="false" customHeight="true" outlineLevel="0" collapsed="false">
      <c r="A17" s="92" t="s">
        <v>420</v>
      </c>
    </row>
    <row r="18" customFormat="false" ht="27.75" hidden="false" customHeight="true" outlineLevel="0" collapsed="false">
      <c r="A18" s="9" t="s">
        <v>17</v>
      </c>
      <c r="B18" s="9" t="s">
        <v>157</v>
      </c>
      <c r="C18" s="10" t="s">
        <v>19</v>
      </c>
      <c r="D18" s="10" t="s">
        <v>20</v>
      </c>
      <c r="E18" s="10" t="s">
        <v>421</v>
      </c>
      <c r="F18" s="10" t="s">
        <v>417</v>
      </c>
      <c r="G18" s="10" t="s">
        <v>422</v>
      </c>
    </row>
    <row r="19" customFormat="false" ht="25.5" hidden="false" customHeight="true" outlineLevel="0" collapsed="false">
      <c r="A19" s="77" t="s">
        <v>164</v>
      </c>
      <c r="B19" s="12" t="s">
        <v>379</v>
      </c>
      <c r="C19" s="12" t="s">
        <v>380</v>
      </c>
      <c r="D19" s="77" t="s">
        <v>31</v>
      </c>
      <c r="E19" s="15" t="n">
        <v>2</v>
      </c>
      <c r="F19" s="94" t="n">
        <f aca="false">INDEX($B$6:$B$15,MATCH(D19,$A$6:$A$15,0))</f>
        <v>1450</v>
      </c>
      <c r="G19" s="95" t="n">
        <f aca="false">E19*F19</f>
        <v>2900</v>
      </c>
    </row>
    <row r="20" customFormat="false" ht="25.5" hidden="false" customHeight="true" outlineLevel="0" collapsed="false">
      <c r="A20" s="77" t="s">
        <v>170</v>
      </c>
      <c r="B20" s="12" t="s">
        <v>379</v>
      </c>
      <c r="C20" s="12" t="s">
        <v>381</v>
      </c>
      <c r="D20" s="77" t="s">
        <v>37</v>
      </c>
      <c r="E20" s="15" t="n">
        <v>4</v>
      </c>
      <c r="F20" s="94" t="n">
        <f aca="false">INDEX($B$6:$B$15,MATCH(D20,$A$6:$A$15,0))</f>
        <v>1100</v>
      </c>
      <c r="G20" s="95" t="n">
        <f aca="false">E20*F20</f>
        <v>4400</v>
      </c>
    </row>
    <row r="21" customFormat="false" ht="25.5" hidden="false" customHeight="true" outlineLevel="0" collapsed="false">
      <c r="A21" s="77" t="s">
        <v>175</v>
      </c>
      <c r="B21" s="12" t="s">
        <v>379</v>
      </c>
      <c r="C21" s="12" t="s">
        <v>382</v>
      </c>
      <c r="D21" s="77" t="s">
        <v>383</v>
      </c>
      <c r="E21" s="15" t="n">
        <v>2</v>
      </c>
      <c r="F21" s="94" t="n">
        <f aca="false">INDEX($B$6:$B$15,MATCH(D21,$A$6:$A$15,0))</f>
        <v>1050</v>
      </c>
      <c r="G21" s="95" t="n">
        <f aca="false">E21*F21</f>
        <v>2100</v>
      </c>
    </row>
    <row r="22" customFormat="false" ht="25.5" hidden="false" customHeight="true" outlineLevel="0" collapsed="false">
      <c r="A22" s="77" t="s">
        <v>180</v>
      </c>
      <c r="B22" s="12" t="s">
        <v>379</v>
      </c>
      <c r="C22" s="12" t="s">
        <v>384</v>
      </c>
      <c r="D22" s="77" t="s">
        <v>383</v>
      </c>
      <c r="E22" s="15" t="n">
        <v>1</v>
      </c>
      <c r="F22" s="94" t="n">
        <f aca="false">INDEX($B$6:$B$15,MATCH(D22,$A$6:$A$15,0))</f>
        <v>1050</v>
      </c>
      <c r="G22" s="95" t="n">
        <f aca="false">E22*F22</f>
        <v>1050</v>
      </c>
    </row>
    <row r="23" customFormat="false" ht="25.5" hidden="false" customHeight="true" outlineLevel="0" collapsed="false">
      <c r="A23" s="77" t="s">
        <v>186</v>
      </c>
      <c r="B23" s="12" t="s">
        <v>385</v>
      </c>
      <c r="C23" s="12" t="s">
        <v>386</v>
      </c>
      <c r="D23" s="77" t="s">
        <v>37</v>
      </c>
      <c r="E23" s="15" t="n">
        <v>4</v>
      </c>
      <c r="F23" s="94" t="n">
        <f aca="false">INDEX($B$6:$B$15,MATCH(D23,$A$6:$A$15,0))</f>
        <v>1100</v>
      </c>
      <c r="G23" s="95" t="n">
        <f aca="false">E23*F23</f>
        <v>4400</v>
      </c>
    </row>
    <row r="24" customFormat="false" ht="25.5" hidden="false" customHeight="true" outlineLevel="0" collapsed="false">
      <c r="A24" s="77" t="s">
        <v>189</v>
      </c>
      <c r="B24" s="12" t="s">
        <v>385</v>
      </c>
      <c r="C24" s="12" t="s">
        <v>387</v>
      </c>
      <c r="D24" s="77" t="s">
        <v>37</v>
      </c>
      <c r="E24" s="15" t="n">
        <v>2</v>
      </c>
      <c r="F24" s="94" t="n">
        <f aca="false">INDEX($B$6:$B$15,MATCH(D24,$A$6:$A$15,0))</f>
        <v>1100</v>
      </c>
      <c r="G24" s="95" t="n">
        <f aca="false">E24*F24</f>
        <v>2200</v>
      </c>
    </row>
    <row r="25" customFormat="false" ht="25.5" hidden="false" customHeight="true" outlineLevel="0" collapsed="false">
      <c r="A25" s="77" t="s">
        <v>192</v>
      </c>
      <c r="B25" s="12" t="s">
        <v>385</v>
      </c>
      <c r="C25" s="12" t="s">
        <v>388</v>
      </c>
      <c r="D25" s="77" t="s">
        <v>52</v>
      </c>
      <c r="E25" s="15" t="n">
        <v>4</v>
      </c>
      <c r="F25" s="94" t="n">
        <f aca="false">INDEX($B$6:$B$15,MATCH(D25,$A$6:$A$15,0))</f>
        <v>1100</v>
      </c>
      <c r="G25" s="95" t="n">
        <f aca="false">E25*F25</f>
        <v>4400</v>
      </c>
    </row>
    <row r="26" customFormat="false" ht="25.5" hidden="false" customHeight="true" outlineLevel="0" collapsed="false">
      <c r="A26" s="77" t="s">
        <v>196</v>
      </c>
      <c r="B26" s="12" t="s">
        <v>385</v>
      </c>
      <c r="C26" s="12" t="s">
        <v>389</v>
      </c>
      <c r="D26" s="77" t="s">
        <v>52</v>
      </c>
      <c r="E26" s="15" t="n">
        <v>6</v>
      </c>
      <c r="F26" s="94" t="n">
        <f aca="false">INDEX($B$6:$B$15,MATCH(D26,$A$6:$A$15,0))</f>
        <v>1100</v>
      </c>
      <c r="G26" s="95" t="n">
        <f aca="false">E26*F26</f>
        <v>6600</v>
      </c>
    </row>
    <row r="27" customFormat="false" ht="25.5" hidden="false" customHeight="true" outlineLevel="0" collapsed="false">
      <c r="A27" s="77" t="s">
        <v>202</v>
      </c>
      <c r="B27" s="12" t="s">
        <v>390</v>
      </c>
      <c r="C27" s="12" t="s">
        <v>391</v>
      </c>
      <c r="D27" s="77" t="s">
        <v>37</v>
      </c>
      <c r="E27" s="15" t="n">
        <v>6</v>
      </c>
      <c r="F27" s="94" t="n">
        <f aca="false">INDEX($B$6:$B$15,MATCH(D27,$A$6:$A$15,0))</f>
        <v>1100</v>
      </c>
      <c r="G27" s="95" t="n">
        <f aca="false">E27*F27</f>
        <v>6600</v>
      </c>
    </row>
    <row r="28" customFormat="false" ht="25.5" hidden="false" customHeight="true" outlineLevel="0" collapsed="false">
      <c r="A28" s="77" t="s">
        <v>205</v>
      </c>
      <c r="B28" s="12" t="s">
        <v>390</v>
      </c>
      <c r="C28" s="12" t="s">
        <v>392</v>
      </c>
      <c r="D28" s="77" t="s">
        <v>52</v>
      </c>
      <c r="E28" s="15" t="n">
        <v>6</v>
      </c>
      <c r="F28" s="94" t="n">
        <f aca="false">INDEX($B$6:$B$15,MATCH(D28,$A$6:$A$15,0))</f>
        <v>1100</v>
      </c>
      <c r="G28" s="95" t="n">
        <f aca="false">E28*F28</f>
        <v>6600</v>
      </c>
    </row>
    <row r="29" customFormat="false" ht="25.5" hidden="false" customHeight="true" outlineLevel="0" collapsed="false">
      <c r="A29" s="77" t="s">
        <v>209</v>
      </c>
      <c r="B29" s="12" t="s">
        <v>390</v>
      </c>
      <c r="C29" s="12" t="s">
        <v>393</v>
      </c>
      <c r="D29" s="77" t="s">
        <v>37</v>
      </c>
      <c r="E29" s="15" t="n">
        <v>8</v>
      </c>
      <c r="F29" s="94" t="n">
        <f aca="false">INDEX($B$6:$B$15,MATCH(D29,$A$6:$A$15,0))</f>
        <v>1100</v>
      </c>
      <c r="G29" s="95" t="n">
        <f aca="false">E29*F29</f>
        <v>8800</v>
      </c>
    </row>
    <row r="30" customFormat="false" ht="25.5" hidden="false" customHeight="true" outlineLevel="0" collapsed="false">
      <c r="A30" s="77" t="s">
        <v>213</v>
      </c>
      <c r="B30" s="12" t="s">
        <v>390</v>
      </c>
      <c r="C30" s="12" t="s">
        <v>394</v>
      </c>
      <c r="D30" s="77" t="s">
        <v>52</v>
      </c>
      <c r="E30" s="15" t="n">
        <v>10</v>
      </c>
      <c r="F30" s="94" t="n">
        <f aca="false">INDEX($B$6:$B$15,MATCH(D30,$A$6:$A$15,0))</f>
        <v>1100</v>
      </c>
      <c r="G30" s="95" t="n">
        <f aca="false">E30*F30</f>
        <v>11000</v>
      </c>
    </row>
    <row r="31" customFormat="false" ht="25.5" hidden="false" customHeight="true" outlineLevel="0" collapsed="false">
      <c r="A31" s="77" t="s">
        <v>217</v>
      </c>
      <c r="B31" s="12" t="s">
        <v>390</v>
      </c>
      <c r="C31" s="12" t="s">
        <v>395</v>
      </c>
      <c r="D31" s="77" t="s">
        <v>31</v>
      </c>
      <c r="E31" s="15" t="n">
        <v>5</v>
      </c>
      <c r="F31" s="94" t="n">
        <f aca="false">INDEX($B$6:$B$15,MATCH(D31,$A$6:$A$15,0))</f>
        <v>1450</v>
      </c>
      <c r="G31" s="95" t="n">
        <f aca="false">E31*F31</f>
        <v>7250</v>
      </c>
    </row>
    <row r="32" customFormat="false" ht="25.5" hidden="false" customHeight="true" outlineLevel="0" collapsed="false">
      <c r="A32" s="77" t="s">
        <v>223</v>
      </c>
      <c r="B32" s="12" t="s">
        <v>396</v>
      </c>
      <c r="C32" s="12" t="s">
        <v>397</v>
      </c>
      <c r="D32" s="77" t="s">
        <v>34</v>
      </c>
      <c r="E32" s="15" t="n">
        <v>8</v>
      </c>
      <c r="F32" s="94" t="n">
        <f aca="false">INDEX($B$6:$B$15,MATCH(D32,$A$6:$A$15,0))</f>
        <v>1100</v>
      </c>
      <c r="G32" s="95" t="n">
        <f aca="false">E32*F32</f>
        <v>8800</v>
      </c>
    </row>
    <row r="33" customFormat="false" ht="25.5" hidden="false" customHeight="true" outlineLevel="0" collapsed="false">
      <c r="A33" s="77" t="s">
        <v>228</v>
      </c>
      <c r="B33" s="12" t="s">
        <v>396</v>
      </c>
      <c r="C33" s="12" t="s">
        <v>398</v>
      </c>
      <c r="D33" s="77" t="s">
        <v>34</v>
      </c>
      <c r="E33" s="15" t="n">
        <v>5</v>
      </c>
      <c r="F33" s="94" t="n">
        <f aca="false">INDEX($B$6:$B$15,MATCH(D33,$A$6:$A$15,0))</f>
        <v>1100</v>
      </c>
      <c r="G33" s="95" t="n">
        <f aca="false">E33*F33</f>
        <v>5500</v>
      </c>
    </row>
    <row r="34" customFormat="false" ht="25.5" hidden="false" customHeight="true" outlineLevel="0" collapsed="false">
      <c r="A34" s="77" t="s">
        <v>231</v>
      </c>
      <c r="B34" s="12" t="s">
        <v>396</v>
      </c>
      <c r="C34" s="12" t="s">
        <v>399</v>
      </c>
      <c r="D34" s="77" t="s">
        <v>34</v>
      </c>
      <c r="E34" s="15" t="n">
        <v>6</v>
      </c>
      <c r="F34" s="94" t="n">
        <f aca="false">INDEX($B$6:$B$15,MATCH(D34,$A$6:$A$15,0))</f>
        <v>1100</v>
      </c>
      <c r="G34" s="95" t="n">
        <f aca="false">E34*F34</f>
        <v>6600</v>
      </c>
    </row>
    <row r="35" customFormat="false" ht="25.5" hidden="false" customHeight="true" outlineLevel="0" collapsed="false">
      <c r="A35" s="77" t="s">
        <v>235</v>
      </c>
      <c r="B35" s="12" t="s">
        <v>396</v>
      </c>
      <c r="C35" s="12" t="s">
        <v>400</v>
      </c>
      <c r="D35" s="77" t="s">
        <v>34</v>
      </c>
      <c r="E35" s="15" t="n">
        <v>5</v>
      </c>
      <c r="F35" s="94" t="n">
        <f aca="false">INDEX($B$6:$B$15,MATCH(D35,$A$6:$A$15,0))</f>
        <v>1100</v>
      </c>
      <c r="G35" s="95" t="n">
        <f aca="false">E35*F35</f>
        <v>5500</v>
      </c>
    </row>
    <row r="36" customFormat="false" ht="25.5" hidden="false" customHeight="true" outlineLevel="0" collapsed="false">
      <c r="A36" s="77" t="s">
        <v>240</v>
      </c>
      <c r="B36" s="12" t="s">
        <v>401</v>
      </c>
      <c r="C36" s="12" t="s">
        <v>402</v>
      </c>
      <c r="D36" s="77" t="s">
        <v>43</v>
      </c>
      <c r="E36" s="15" t="n">
        <v>4</v>
      </c>
      <c r="F36" s="94" t="n">
        <f aca="false">INDEX($B$6:$B$15,MATCH(D36,$A$6:$A$15,0))</f>
        <v>1300</v>
      </c>
      <c r="G36" s="95" t="n">
        <f aca="false">E36*F36</f>
        <v>5200</v>
      </c>
    </row>
    <row r="37" customFormat="false" ht="25.5" hidden="false" customHeight="true" outlineLevel="0" collapsed="false">
      <c r="A37" s="77" t="s">
        <v>244</v>
      </c>
      <c r="B37" s="12" t="s">
        <v>401</v>
      </c>
      <c r="C37" s="12" t="s">
        <v>403</v>
      </c>
      <c r="D37" s="77" t="s">
        <v>383</v>
      </c>
      <c r="E37" s="15" t="n">
        <v>2</v>
      </c>
      <c r="F37" s="94" t="n">
        <f aca="false">INDEX($B$6:$B$15,MATCH(D37,$A$6:$A$15,0))</f>
        <v>1050</v>
      </c>
      <c r="G37" s="95" t="n">
        <f aca="false">E37*F37</f>
        <v>2100</v>
      </c>
    </row>
    <row r="38" customFormat="false" ht="25.5" hidden="false" customHeight="true" outlineLevel="0" collapsed="false">
      <c r="A38" s="77" t="s">
        <v>248</v>
      </c>
      <c r="B38" s="12" t="s">
        <v>401</v>
      </c>
      <c r="C38" s="12" t="s">
        <v>404</v>
      </c>
      <c r="D38" s="77" t="s">
        <v>37</v>
      </c>
      <c r="E38" s="15" t="n">
        <v>10</v>
      </c>
      <c r="F38" s="94" t="n">
        <f aca="false">INDEX($B$6:$B$15,MATCH(D38,$A$6:$A$15,0))</f>
        <v>1100</v>
      </c>
      <c r="G38" s="95" t="n">
        <f aca="false">E38*F38</f>
        <v>11000</v>
      </c>
    </row>
    <row r="39" customFormat="false" ht="25.5" hidden="false" customHeight="true" outlineLevel="0" collapsed="false">
      <c r="A39" s="77" t="s">
        <v>252</v>
      </c>
      <c r="B39" s="12" t="s">
        <v>401</v>
      </c>
      <c r="C39" s="12" t="s">
        <v>405</v>
      </c>
      <c r="D39" s="77" t="s">
        <v>383</v>
      </c>
      <c r="E39" s="15" t="n">
        <v>1</v>
      </c>
      <c r="F39" s="94" t="n">
        <f aca="false">INDEX($B$6:$B$15,MATCH(D39,$A$6:$A$15,0))</f>
        <v>1050</v>
      </c>
      <c r="G39" s="95" t="n">
        <f aca="false">E39*F39</f>
        <v>1050</v>
      </c>
    </row>
    <row r="40" customFormat="false" ht="25.5" hidden="false" customHeight="true" outlineLevel="0" collapsed="false">
      <c r="A40" s="77" t="s">
        <v>256</v>
      </c>
      <c r="B40" s="12" t="s">
        <v>401</v>
      </c>
      <c r="C40" s="12" t="s">
        <v>406</v>
      </c>
      <c r="D40" s="77" t="s">
        <v>34</v>
      </c>
      <c r="E40" s="15" t="n">
        <v>8</v>
      </c>
      <c r="F40" s="94" t="n">
        <f aca="false">INDEX($B$6:$B$15,MATCH(D40,$A$6:$A$15,0))</f>
        <v>1100</v>
      </c>
      <c r="G40" s="95" t="n">
        <f aca="false">E40*F40</f>
        <v>8800</v>
      </c>
    </row>
    <row r="41" customFormat="false" ht="25.5" hidden="false" customHeight="true" outlineLevel="0" collapsed="false">
      <c r="A41" s="77" t="s">
        <v>259</v>
      </c>
      <c r="B41" s="12" t="s">
        <v>401</v>
      </c>
      <c r="C41" s="12" t="s">
        <v>407</v>
      </c>
      <c r="D41" s="77" t="s">
        <v>43</v>
      </c>
      <c r="E41" s="15" t="n">
        <v>1</v>
      </c>
      <c r="F41" s="94" t="n">
        <f aca="false">INDEX($B$6:$B$15,MATCH(D41,$A$6:$A$15,0))</f>
        <v>1300</v>
      </c>
      <c r="G41" s="95" t="n">
        <f aca="false">E41*F41</f>
        <v>1300</v>
      </c>
    </row>
    <row r="42" customFormat="false" ht="25.5" hidden="false" customHeight="true" outlineLevel="0" collapsed="false">
      <c r="A42" s="77" t="s">
        <v>264</v>
      </c>
      <c r="B42" s="12" t="s">
        <v>408</v>
      </c>
      <c r="C42" s="12" t="s">
        <v>409</v>
      </c>
      <c r="D42" s="77" t="s">
        <v>383</v>
      </c>
      <c r="E42" s="15" t="n">
        <v>2</v>
      </c>
      <c r="F42" s="94" t="n">
        <f aca="false">INDEX($B$6:$B$15,MATCH(D42,$A$6:$A$15,0))</f>
        <v>1050</v>
      </c>
      <c r="G42" s="95" t="n">
        <f aca="false">E42*F42</f>
        <v>2100</v>
      </c>
    </row>
    <row r="43" customFormat="false" ht="25.5" hidden="false" customHeight="true" outlineLevel="0" collapsed="false">
      <c r="A43" s="77" t="s">
        <v>268</v>
      </c>
      <c r="B43" s="12" t="s">
        <v>408</v>
      </c>
      <c r="C43" s="12" t="s">
        <v>410</v>
      </c>
      <c r="D43" s="77" t="s">
        <v>31</v>
      </c>
      <c r="E43" s="15" t="n">
        <v>2</v>
      </c>
      <c r="F43" s="94" t="n">
        <f aca="false">INDEX($B$6:$B$15,MATCH(D43,$A$6:$A$15,0))</f>
        <v>1450</v>
      </c>
      <c r="G43" s="95" t="n">
        <f aca="false">E43*F43</f>
        <v>2900</v>
      </c>
    </row>
    <row r="44" customFormat="false" ht="25.5" hidden="false" customHeight="true" outlineLevel="0" collapsed="false">
      <c r="A44" s="77" t="s">
        <v>271</v>
      </c>
      <c r="B44" s="12" t="s">
        <v>408</v>
      </c>
      <c r="C44" s="12" t="s">
        <v>411</v>
      </c>
      <c r="D44" s="77" t="s">
        <v>383</v>
      </c>
      <c r="E44" s="15" t="n">
        <v>1</v>
      </c>
      <c r="F44" s="94" t="n">
        <f aca="false">INDEX($B$6:$B$15,MATCH(D44,$A$6:$A$15,0))</f>
        <v>1050</v>
      </c>
      <c r="G44" s="95" t="n">
        <f aca="false">E44*F44</f>
        <v>1050</v>
      </c>
    </row>
    <row r="45" customFormat="false" ht="15" hidden="false" customHeight="true" outlineLevel="0" collapsed="false">
      <c r="F45" s="96" t="s">
        <v>423</v>
      </c>
      <c r="G45" s="97" t="n">
        <f aca="false">SUM(G19:G44)</f>
        <v>130200</v>
      </c>
    </row>
    <row r="46" customFormat="false" ht="15" hidden="false" customHeight="true" outlineLevel="0" collapsed="false">
      <c r="D46" s="96" t="s">
        <v>424</v>
      </c>
      <c r="E46" s="98" t="n">
        <f aca="false">SUM(E19:E44)</f>
        <v>115</v>
      </c>
    </row>
    <row r="47" customFormat="false" ht="15" hidden="false" customHeight="true" outlineLevel="0" collapsed="false">
      <c r="A47" s="92" t="s">
        <v>425</v>
      </c>
    </row>
    <row r="48" customFormat="false" ht="18" hidden="false" customHeight="true" outlineLevel="0" collapsed="false">
      <c r="A48" s="9" t="s">
        <v>426</v>
      </c>
      <c r="B48" s="9" t="s">
        <v>427</v>
      </c>
      <c r="C48" s="10" t="s">
        <v>428</v>
      </c>
    </row>
    <row r="49" customFormat="false" ht="42" hidden="false" customHeight="true" outlineLevel="0" collapsed="false">
      <c r="A49" s="12" t="s">
        <v>429</v>
      </c>
      <c r="B49" s="93" t="n">
        <v>35000</v>
      </c>
      <c r="C49" s="21" t="s">
        <v>430</v>
      </c>
    </row>
    <row r="50" customFormat="false" ht="42" hidden="false" customHeight="true" outlineLevel="0" collapsed="false">
      <c r="A50" s="12" t="s">
        <v>431</v>
      </c>
      <c r="B50" s="93" t="n">
        <v>6000</v>
      </c>
      <c r="C50" s="21" t="s">
        <v>432</v>
      </c>
    </row>
    <row r="51" customFormat="false" ht="42" hidden="false" customHeight="true" outlineLevel="0" collapsed="false">
      <c r="A51" s="12" t="s">
        <v>433</v>
      </c>
      <c r="B51" s="93" t="n">
        <v>10000</v>
      </c>
      <c r="C51" s="21" t="s">
        <v>434</v>
      </c>
    </row>
    <row r="52" customFormat="false" ht="42" hidden="false" customHeight="true" outlineLevel="0" collapsed="false">
      <c r="A52" s="12" t="s">
        <v>435</v>
      </c>
      <c r="B52" s="93" t="n">
        <v>0</v>
      </c>
      <c r="C52" s="21" t="s">
        <v>436</v>
      </c>
    </row>
    <row r="53" customFormat="false" ht="42" hidden="false" customHeight="true" outlineLevel="0" collapsed="false">
      <c r="A53" s="12" t="s">
        <v>311</v>
      </c>
      <c r="B53" s="93" t="n">
        <v>0</v>
      </c>
      <c r="C53" s="21" t="s">
        <v>437</v>
      </c>
    </row>
    <row r="54" customFormat="false" ht="42" hidden="false" customHeight="true" outlineLevel="0" collapsed="false">
      <c r="A54" s="12" t="s">
        <v>438</v>
      </c>
      <c r="B54" s="93" t="n">
        <v>0</v>
      </c>
      <c r="C54" s="21" t="s">
        <v>439</v>
      </c>
    </row>
    <row r="55" customFormat="false" ht="15" hidden="false" customHeight="true" outlineLevel="0" collapsed="false">
      <c r="A55" s="96" t="s">
        <v>440</v>
      </c>
      <c r="B55" s="97" t="n">
        <f aca="false">SUM(B49:B54)</f>
        <v>51000</v>
      </c>
    </row>
    <row r="58" customFormat="false" ht="25.5" hidden="false" customHeight="true" outlineLevel="0" collapsed="false">
      <c r="A58" s="99" t="s">
        <v>441</v>
      </c>
      <c r="B58" s="99"/>
      <c r="C58" s="99"/>
      <c r="D58" s="100" t="n">
        <f aca="false">G45+B55</f>
        <v>181200</v>
      </c>
      <c r="E58" s="100"/>
    </row>
    <row r="59" customFormat="false" ht="15" hidden="false" customHeight="true" outlineLevel="0" collapsed="false">
      <c r="A59" s="101" t="s">
        <v>442</v>
      </c>
      <c r="B59" s="101"/>
      <c r="C59" s="101"/>
      <c r="D59" s="101"/>
      <c r="E59" s="101"/>
      <c r="F59" s="101"/>
      <c r="G59" s="101"/>
    </row>
    <row r="61" customFormat="false" ht="30" hidden="false" customHeight="true" outlineLevel="0" collapsed="false">
      <c r="A61" s="40" t="s">
        <v>443</v>
      </c>
      <c r="B61" s="40"/>
      <c r="C61" s="40"/>
      <c r="D61" s="40"/>
      <c r="E61" s="40"/>
      <c r="F61" s="40"/>
      <c r="G61" s="40"/>
    </row>
  </sheetData>
  <mergeCells count="6">
    <mergeCell ref="A1:G1"/>
    <mergeCell ref="A2:G2"/>
    <mergeCell ref="A58:C58"/>
    <mergeCell ref="D58:E58"/>
    <mergeCell ref="A59:G59"/>
    <mergeCell ref="A61:G61"/>
  </mergeCells>
  <printOptions headings="false" gridLines="false" gridLinesSet="true" horizontalCentered="fals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8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0" topLeftCell="A11"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68" width="26"/>
    <col collapsed="false" customWidth="true" hidden="false" outlineLevel="0" max="4" min="2" style="68" width="16"/>
    <col collapsed="false" customWidth="true" hidden="false" outlineLevel="0" max="5" min="5" style="68" width="12"/>
    <col collapsed="false" customWidth="true" hidden="false" outlineLevel="0" max="6" min="6" style="68" width="9"/>
    <col collapsed="false" customWidth="true" hidden="false" outlineLevel="0" max="9" min="7" style="68" width="12"/>
  </cols>
  <sheetData>
    <row r="1" customFormat="false" ht="24" hidden="false" customHeight="true" outlineLevel="0" collapsed="false">
      <c r="A1" s="74" t="s">
        <v>444</v>
      </c>
      <c r="B1" s="74"/>
      <c r="C1" s="74"/>
      <c r="D1" s="74"/>
      <c r="E1" s="74"/>
      <c r="F1" s="74"/>
      <c r="G1" s="74"/>
      <c r="H1" s="74"/>
      <c r="I1" s="74"/>
    </row>
    <row r="2" customFormat="false" ht="25.5" hidden="false" customHeight="true" outlineLevel="0" collapsed="false">
      <c r="A2" s="2" t="s">
        <v>445</v>
      </c>
      <c r="B2" s="2"/>
      <c r="C2" s="2"/>
      <c r="D2" s="2"/>
      <c r="E2" s="2"/>
      <c r="F2" s="2"/>
      <c r="G2" s="2"/>
      <c r="H2" s="2"/>
      <c r="I2" s="2"/>
    </row>
    <row r="4" customFormat="false" ht="15" hidden="false" customHeight="true" outlineLevel="0" collapsed="false">
      <c r="A4" s="92" t="s">
        <v>9</v>
      </c>
    </row>
    <row r="5" customFormat="false" ht="27.75" hidden="false" customHeight="true" outlineLevel="0" collapsed="false">
      <c r="A5" s="102" t="s">
        <v>10</v>
      </c>
      <c r="B5" s="5" t="s">
        <v>446</v>
      </c>
      <c r="C5" s="5"/>
      <c r="D5" s="5"/>
      <c r="E5" s="5"/>
      <c r="F5" s="5"/>
      <c r="G5" s="5"/>
      <c r="H5" s="5"/>
      <c r="I5" s="5"/>
    </row>
    <row r="6" customFormat="false" ht="27.75" hidden="false" customHeight="true" outlineLevel="0" collapsed="false">
      <c r="A6" s="103" t="s">
        <v>12</v>
      </c>
      <c r="B6" s="5" t="s">
        <v>447</v>
      </c>
      <c r="C6" s="5"/>
      <c r="D6" s="5"/>
      <c r="E6" s="5"/>
      <c r="F6" s="5"/>
      <c r="G6" s="5"/>
      <c r="H6" s="5"/>
      <c r="I6" s="5"/>
    </row>
    <row r="7" customFormat="false" ht="27.75" hidden="false" customHeight="true" outlineLevel="0" collapsed="false">
      <c r="A7" s="104" t="s">
        <v>14</v>
      </c>
      <c r="B7" s="5" t="s">
        <v>448</v>
      </c>
      <c r="C7" s="5"/>
      <c r="D7" s="5"/>
      <c r="E7" s="5"/>
      <c r="F7" s="5"/>
      <c r="G7" s="5"/>
      <c r="H7" s="5"/>
      <c r="I7" s="5"/>
    </row>
    <row r="9" customFormat="false" ht="15" hidden="false" customHeight="true" outlineLevel="0" collapsed="false">
      <c r="A9" s="92" t="s">
        <v>449</v>
      </c>
    </row>
    <row r="10" customFormat="false" ht="30" hidden="false" customHeight="true" outlineLevel="0" collapsed="false">
      <c r="A10" s="9" t="s">
        <v>17</v>
      </c>
      <c r="B10" s="9" t="s">
        <v>19</v>
      </c>
      <c r="C10" s="10" t="s">
        <v>20</v>
      </c>
      <c r="D10" s="10" t="s">
        <v>21</v>
      </c>
      <c r="E10" s="10" t="s">
        <v>450</v>
      </c>
      <c r="F10" s="10" t="s">
        <v>451</v>
      </c>
      <c r="G10" s="10" t="s">
        <v>452</v>
      </c>
      <c r="H10" s="10" t="s">
        <v>453</v>
      </c>
      <c r="I10" s="10" t="s">
        <v>454</v>
      </c>
    </row>
    <row r="11" customFormat="false" ht="33.75" hidden="false" customHeight="true" outlineLevel="0" collapsed="false">
      <c r="A11" s="77" t="s">
        <v>164</v>
      </c>
      <c r="B11" s="12" t="s">
        <v>380</v>
      </c>
      <c r="C11" s="77" t="s">
        <v>31</v>
      </c>
      <c r="D11" s="13" t="s">
        <v>12</v>
      </c>
      <c r="E11" s="15" t="n">
        <v>2</v>
      </c>
      <c r="F11" s="15" t="n">
        <v>0.5</v>
      </c>
      <c r="G11" s="94" t="n">
        <f aca="false">E11*INDEX('Time &amp; Cost Summary'!$B$6:$B$15,MATCH(C11,'Time &amp; Cost Summary'!$A$6:$A$15,0))</f>
        <v>2900</v>
      </c>
      <c r="H11" s="94" t="n">
        <f aca="false">F11*INDEX('Time &amp; Cost Summary'!$B$6:$B$15,MATCH(C11,'Time &amp; Cost Summary'!$A$6:$A$15,0))</f>
        <v>725</v>
      </c>
      <c r="I11" s="105" t="n">
        <f aca="false">G11-H11</f>
        <v>2175</v>
      </c>
    </row>
    <row r="12" customFormat="false" ht="33.75" hidden="false" customHeight="true" outlineLevel="0" collapsed="false">
      <c r="A12" s="77" t="s">
        <v>170</v>
      </c>
      <c r="B12" s="12" t="s">
        <v>381</v>
      </c>
      <c r="C12" s="77" t="s">
        <v>37</v>
      </c>
      <c r="D12" s="14" t="s">
        <v>10</v>
      </c>
      <c r="E12" s="15" t="n">
        <v>4</v>
      </c>
      <c r="F12" s="15" t="n">
        <v>1</v>
      </c>
      <c r="G12" s="94" t="n">
        <f aca="false">E12*INDEX('Time &amp; Cost Summary'!$B$6:$B$15,MATCH(C12,'Time &amp; Cost Summary'!$A$6:$A$15,0))</f>
        <v>4400</v>
      </c>
      <c r="H12" s="94" t="n">
        <f aca="false">F12*INDEX('Time &amp; Cost Summary'!$B$6:$B$15,MATCH(C12,'Time &amp; Cost Summary'!$A$6:$A$15,0))</f>
        <v>1100</v>
      </c>
      <c r="I12" s="105" t="n">
        <f aca="false">G12-H12</f>
        <v>3300</v>
      </c>
    </row>
    <row r="13" customFormat="false" ht="33.75" hidden="false" customHeight="true" outlineLevel="0" collapsed="false">
      <c r="A13" s="77" t="s">
        <v>175</v>
      </c>
      <c r="B13" s="12" t="s">
        <v>382</v>
      </c>
      <c r="C13" s="77" t="s">
        <v>383</v>
      </c>
      <c r="D13" s="18" t="s">
        <v>14</v>
      </c>
      <c r="E13" s="15" t="n">
        <v>2</v>
      </c>
      <c r="F13" s="15" t="n">
        <v>1.5</v>
      </c>
      <c r="G13" s="94" t="n">
        <f aca="false">E13*INDEX('Time &amp; Cost Summary'!$B$6:$B$15,MATCH(C13,'Time &amp; Cost Summary'!$A$6:$A$15,0))</f>
        <v>2100</v>
      </c>
      <c r="H13" s="94" t="n">
        <f aca="false">F13*INDEX('Time &amp; Cost Summary'!$B$6:$B$15,MATCH(C13,'Time &amp; Cost Summary'!$A$6:$A$15,0))</f>
        <v>1575</v>
      </c>
      <c r="I13" s="105" t="n">
        <f aca="false">G13-H13</f>
        <v>525</v>
      </c>
    </row>
    <row r="14" customFormat="false" ht="33.75" hidden="false" customHeight="true" outlineLevel="0" collapsed="false">
      <c r="A14" s="77" t="s">
        <v>180</v>
      </c>
      <c r="B14" s="12" t="s">
        <v>384</v>
      </c>
      <c r="C14" s="77" t="s">
        <v>383</v>
      </c>
      <c r="D14" s="18" t="s">
        <v>14</v>
      </c>
      <c r="E14" s="15" t="n">
        <v>1</v>
      </c>
      <c r="F14" s="15" t="n">
        <v>0.75</v>
      </c>
      <c r="G14" s="94" t="n">
        <f aca="false">E14*INDEX('Time &amp; Cost Summary'!$B$6:$B$15,MATCH(C14,'Time &amp; Cost Summary'!$A$6:$A$15,0))</f>
        <v>1050</v>
      </c>
      <c r="H14" s="94" t="n">
        <f aca="false">F14*INDEX('Time &amp; Cost Summary'!$B$6:$B$15,MATCH(C14,'Time &amp; Cost Summary'!$A$6:$A$15,0))</f>
        <v>787.5</v>
      </c>
      <c r="I14" s="105" t="n">
        <f aca="false">G14-H14</f>
        <v>262.5</v>
      </c>
    </row>
    <row r="15" customFormat="false" ht="33.75" hidden="false" customHeight="true" outlineLevel="0" collapsed="false">
      <c r="A15" s="77" t="s">
        <v>186</v>
      </c>
      <c r="B15" s="12" t="s">
        <v>386</v>
      </c>
      <c r="C15" s="77" t="s">
        <v>37</v>
      </c>
      <c r="D15" s="14" t="s">
        <v>10</v>
      </c>
      <c r="E15" s="15" t="n">
        <v>4</v>
      </c>
      <c r="F15" s="15" t="n">
        <v>1</v>
      </c>
      <c r="G15" s="94" t="n">
        <f aca="false">E15*INDEX('Time &amp; Cost Summary'!$B$6:$B$15,MATCH(C15,'Time &amp; Cost Summary'!$A$6:$A$15,0))</f>
        <v>4400</v>
      </c>
      <c r="H15" s="94" t="n">
        <f aca="false">F15*INDEX('Time &amp; Cost Summary'!$B$6:$B$15,MATCH(C15,'Time &amp; Cost Summary'!$A$6:$A$15,0))</f>
        <v>1100</v>
      </c>
      <c r="I15" s="105" t="n">
        <f aca="false">G15-H15</f>
        <v>3300</v>
      </c>
    </row>
    <row r="16" customFormat="false" ht="33.75" hidden="false" customHeight="true" outlineLevel="0" collapsed="false">
      <c r="A16" s="77" t="s">
        <v>189</v>
      </c>
      <c r="B16" s="12" t="s">
        <v>387</v>
      </c>
      <c r="C16" s="77" t="s">
        <v>37</v>
      </c>
      <c r="D16" s="14" t="s">
        <v>10</v>
      </c>
      <c r="E16" s="15" t="n">
        <v>2</v>
      </c>
      <c r="F16" s="15" t="n">
        <v>0.5</v>
      </c>
      <c r="G16" s="94" t="n">
        <f aca="false">E16*INDEX('Time &amp; Cost Summary'!$B$6:$B$15,MATCH(C16,'Time &amp; Cost Summary'!$A$6:$A$15,0))</f>
        <v>2200</v>
      </c>
      <c r="H16" s="94" t="n">
        <f aca="false">F16*INDEX('Time &amp; Cost Summary'!$B$6:$B$15,MATCH(C16,'Time &amp; Cost Summary'!$A$6:$A$15,0))</f>
        <v>550</v>
      </c>
      <c r="I16" s="105" t="n">
        <f aca="false">G16-H16</f>
        <v>1650</v>
      </c>
    </row>
    <row r="17" customFormat="false" ht="33.75" hidden="false" customHeight="true" outlineLevel="0" collapsed="false">
      <c r="A17" s="77" t="s">
        <v>192</v>
      </c>
      <c r="B17" s="12" t="s">
        <v>388</v>
      </c>
      <c r="C17" s="77" t="s">
        <v>52</v>
      </c>
      <c r="D17" s="14" t="s">
        <v>10</v>
      </c>
      <c r="E17" s="15" t="n">
        <v>4</v>
      </c>
      <c r="F17" s="15" t="n">
        <v>1</v>
      </c>
      <c r="G17" s="94" t="n">
        <f aca="false">E17*INDEX('Time &amp; Cost Summary'!$B$6:$B$15,MATCH(C17,'Time &amp; Cost Summary'!$A$6:$A$15,0))</f>
        <v>4400</v>
      </c>
      <c r="H17" s="94" t="n">
        <f aca="false">F17*INDEX('Time &amp; Cost Summary'!$B$6:$B$15,MATCH(C17,'Time &amp; Cost Summary'!$A$6:$A$15,0))</f>
        <v>1100</v>
      </c>
      <c r="I17" s="105" t="n">
        <f aca="false">G17-H17</f>
        <v>3300</v>
      </c>
    </row>
    <row r="18" customFormat="false" ht="33.75" hidden="false" customHeight="true" outlineLevel="0" collapsed="false">
      <c r="A18" s="77" t="s">
        <v>196</v>
      </c>
      <c r="B18" s="12" t="s">
        <v>389</v>
      </c>
      <c r="C18" s="77" t="s">
        <v>52</v>
      </c>
      <c r="D18" s="14" t="s">
        <v>10</v>
      </c>
      <c r="E18" s="15" t="n">
        <v>6</v>
      </c>
      <c r="F18" s="15" t="n">
        <v>2</v>
      </c>
      <c r="G18" s="94" t="n">
        <f aca="false">E18*INDEX('Time &amp; Cost Summary'!$B$6:$B$15,MATCH(C18,'Time &amp; Cost Summary'!$A$6:$A$15,0))</f>
        <v>6600</v>
      </c>
      <c r="H18" s="94" t="n">
        <f aca="false">F18*INDEX('Time &amp; Cost Summary'!$B$6:$B$15,MATCH(C18,'Time &amp; Cost Summary'!$A$6:$A$15,0))</f>
        <v>2200</v>
      </c>
      <c r="I18" s="105" t="n">
        <f aca="false">G18-H18</f>
        <v>4400</v>
      </c>
    </row>
    <row r="19" customFormat="false" ht="33.75" hidden="false" customHeight="true" outlineLevel="0" collapsed="false">
      <c r="A19" s="77" t="s">
        <v>202</v>
      </c>
      <c r="B19" s="12" t="s">
        <v>391</v>
      </c>
      <c r="C19" s="77" t="s">
        <v>37</v>
      </c>
      <c r="D19" s="14" t="s">
        <v>10</v>
      </c>
      <c r="E19" s="15" t="n">
        <v>6</v>
      </c>
      <c r="F19" s="15" t="n">
        <v>1.5</v>
      </c>
      <c r="G19" s="94" t="n">
        <f aca="false">E19*INDEX('Time &amp; Cost Summary'!$B$6:$B$15,MATCH(C19,'Time &amp; Cost Summary'!$A$6:$A$15,0))</f>
        <v>6600</v>
      </c>
      <c r="H19" s="94" t="n">
        <f aca="false">F19*INDEX('Time &amp; Cost Summary'!$B$6:$B$15,MATCH(C19,'Time &amp; Cost Summary'!$A$6:$A$15,0))</f>
        <v>1650</v>
      </c>
      <c r="I19" s="105" t="n">
        <f aca="false">G19-H19</f>
        <v>4950</v>
      </c>
    </row>
    <row r="20" customFormat="false" ht="33.75" hidden="false" customHeight="true" outlineLevel="0" collapsed="false">
      <c r="A20" s="77" t="s">
        <v>205</v>
      </c>
      <c r="B20" s="12" t="s">
        <v>392</v>
      </c>
      <c r="C20" s="77" t="s">
        <v>52</v>
      </c>
      <c r="D20" s="14" t="s">
        <v>10</v>
      </c>
      <c r="E20" s="15" t="n">
        <v>6</v>
      </c>
      <c r="F20" s="15" t="n">
        <v>1.5</v>
      </c>
      <c r="G20" s="94" t="n">
        <f aca="false">E20*INDEX('Time &amp; Cost Summary'!$B$6:$B$15,MATCH(C20,'Time &amp; Cost Summary'!$A$6:$A$15,0))</f>
        <v>6600</v>
      </c>
      <c r="H20" s="94" t="n">
        <f aca="false">F20*INDEX('Time &amp; Cost Summary'!$B$6:$B$15,MATCH(C20,'Time &amp; Cost Summary'!$A$6:$A$15,0))</f>
        <v>1650</v>
      </c>
      <c r="I20" s="105" t="n">
        <f aca="false">G20-H20</f>
        <v>4950</v>
      </c>
    </row>
    <row r="21" customFormat="false" ht="33.75" hidden="false" customHeight="true" outlineLevel="0" collapsed="false">
      <c r="A21" s="77" t="s">
        <v>209</v>
      </c>
      <c r="B21" s="12" t="s">
        <v>393</v>
      </c>
      <c r="C21" s="77" t="s">
        <v>37</v>
      </c>
      <c r="D21" s="13" t="s">
        <v>12</v>
      </c>
      <c r="E21" s="15" t="n">
        <v>8</v>
      </c>
      <c r="F21" s="15" t="n">
        <v>3</v>
      </c>
      <c r="G21" s="94" t="n">
        <f aca="false">E21*INDEX('Time &amp; Cost Summary'!$B$6:$B$15,MATCH(C21,'Time &amp; Cost Summary'!$A$6:$A$15,0))</f>
        <v>8800</v>
      </c>
      <c r="H21" s="94" t="n">
        <f aca="false">F21*INDEX('Time &amp; Cost Summary'!$B$6:$B$15,MATCH(C21,'Time &amp; Cost Summary'!$A$6:$A$15,0))</f>
        <v>3300</v>
      </c>
      <c r="I21" s="105" t="n">
        <f aca="false">G21-H21</f>
        <v>5500</v>
      </c>
    </row>
    <row r="22" customFormat="false" ht="33.75" hidden="false" customHeight="true" outlineLevel="0" collapsed="false">
      <c r="A22" s="77" t="s">
        <v>213</v>
      </c>
      <c r="B22" s="12" t="s">
        <v>394</v>
      </c>
      <c r="C22" s="77" t="s">
        <v>52</v>
      </c>
      <c r="D22" s="13" t="s">
        <v>12</v>
      </c>
      <c r="E22" s="15" t="n">
        <v>10</v>
      </c>
      <c r="F22" s="15" t="n">
        <v>4</v>
      </c>
      <c r="G22" s="94" t="n">
        <f aca="false">E22*INDEX('Time &amp; Cost Summary'!$B$6:$B$15,MATCH(C22,'Time &amp; Cost Summary'!$A$6:$A$15,0))</f>
        <v>11000</v>
      </c>
      <c r="H22" s="94" t="n">
        <f aca="false">F22*INDEX('Time &amp; Cost Summary'!$B$6:$B$15,MATCH(C22,'Time &amp; Cost Summary'!$A$6:$A$15,0))</f>
        <v>4400</v>
      </c>
      <c r="I22" s="105" t="n">
        <f aca="false">G22-H22</f>
        <v>6600</v>
      </c>
    </row>
    <row r="23" customFormat="false" ht="33.75" hidden="false" customHeight="true" outlineLevel="0" collapsed="false">
      <c r="A23" s="77" t="s">
        <v>217</v>
      </c>
      <c r="B23" s="12" t="s">
        <v>395</v>
      </c>
      <c r="C23" s="77" t="s">
        <v>31</v>
      </c>
      <c r="D23" s="18" t="s">
        <v>14</v>
      </c>
      <c r="E23" s="15" t="n">
        <v>5</v>
      </c>
      <c r="F23" s="15" t="n">
        <v>4</v>
      </c>
      <c r="G23" s="94" t="n">
        <f aca="false">E23*INDEX('Time &amp; Cost Summary'!$B$6:$B$15,MATCH(C23,'Time &amp; Cost Summary'!$A$6:$A$15,0))</f>
        <v>7250</v>
      </c>
      <c r="H23" s="94" t="n">
        <f aca="false">F23*INDEX('Time &amp; Cost Summary'!$B$6:$B$15,MATCH(C23,'Time &amp; Cost Summary'!$A$6:$A$15,0))</f>
        <v>5800</v>
      </c>
      <c r="I23" s="105" t="n">
        <f aca="false">G23-H23</f>
        <v>1450</v>
      </c>
    </row>
    <row r="24" customFormat="false" ht="33.75" hidden="false" customHeight="true" outlineLevel="0" collapsed="false">
      <c r="A24" s="77" t="s">
        <v>223</v>
      </c>
      <c r="B24" s="12" t="s">
        <v>397</v>
      </c>
      <c r="C24" s="77" t="s">
        <v>34</v>
      </c>
      <c r="D24" s="13" t="s">
        <v>12</v>
      </c>
      <c r="E24" s="15" t="n">
        <v>8</v>
      </c>
      <c r="F24" s="15" t="n">
        <v>4</v>
      </c>
      <c r="G24" s="94" t="n">
        <f aca="false">E24*INDEX('Time &amp; Cost Summary'!$B$6:$B$15,MATCH(C24,'Time &amp; Cost Summary'!$A$6:$A$15,0))</f>
        <v>8800</v>
      </c>
      <c r="H24" s="94" t="n">
        <f aca="false">F24*INDEX('Time &amp; Cost Summary'!$B$6:$B$15,MATCH(C24,'Time &amp; Cost Summary'!$A$6:$A$15,0))</f>
        <v>4400</v>
      </c>
      <c r="I24" s="105" t="n">
        <f aca="false">G24-H24</f>
        <v>4400</v>
      </c>
    </row>
    <row r="25" customFormat="false" ht="33.75" hidden="false" customHeight="true" outlineLevel="0" collapsed="false">
      <c r="A25" s="77" t="s">
        <v>228</v>
      </c>
      <c r="B25" s="12" t="s">
        <v>398</v>
      </c>
      <c r="C25" s="77" t="s">
        <v>34</v>
      </c>
      <c r="D25" s="13" t="s">
        <v>12</v>
      </c>
      <c r="E25" s="15" t="n">
        <v>5</v>
      </c>
      <c r="F25" s="15" t="n">
        <v>2.5</v>
      </c>
      <c r="G25" s="94" t="n">
        <f aca="false">E25*INDEX('Time &amp; Cost Summary'!$B$6:$B$15,MATCH(C25,'Time &amp; Cost Summary'!$A$6:$A$15,0))</f>
        <v>5500</v>
      </c>
      <c r="H25" s="94" t="n">
        <f aca="false">F25*INDEX('Time &amp; Cost Summary'!$B$6:$B$15,MATCH(C25,'Time &amp; Cost Summary'!$A$6:$A$15,0))</f>
        <v>2750</v>
      </c>
      <c r="I25" s="105" t="n">
        <f aca="false">G25-H25</f>
        <v>2750</v>
      </c>
    </row>
    <row r="26" customFormat="false" ht="33.75" hidden="false" customHeight="true" outlineLevel="0" collapsed="false">
      <c r="A26" s="77" t="s">
        <v>231</v>
      </c>
      <c r="B26" s="12" t="s">
        <v>399</v>
      </c>
      <c r="C26" s="77" t="s">
        <v>34</v>
      </c>
      <c r="D26" s="14" t="s">
        <v>10</v>
      </c>
      <c r="E26" s="15" t="n">
        <v>6</v>
      </c>
      <c r="F26" s="15" t="n">
        <v>2</v>
      </c>
      <c r="G26" s="94" t="n">
        <f aca="false">E26*INDEX('Time &amp; Cost Summary'!$B$6:$B$15,MATCH(C26,'Time &amp; Cost Summary'!$A$6:$A$15,0))</f>
        <v>6600</v>
      </c>
      <c r="H26" s="94" t="n">
        <f aca="false">F26*INDEX('Time &amp; Cost Summary'!$B$6:$B$15,MATCH(C26,'Time &amp; Cost Summary'!$A$6:$A$15,0))</f>
        <v>2200</v>
      </c>
      <c r="I26" s="105" t="n">
        <f aca="false">G26-H26</f>
        <v>4400</v>
      </c>
    </row>
    <row r="27" customFormat="false" ht="33.75" hidden="false" customHeight="true" outlineLevel="0" collapsed="false">
      <c r="A27" s="77" t="s">
        <v>235</v>
      </c>
      <c r="B27" s="12" t="s">
        <v>400</v>
      </c>
      <c r="C27" s="77" t="s">
        <v>34</v>
      </c>
      <c r="D27" s="13" t="s">
        <v>12</v>
      </c>
      <c r="E27" s="15" t="n">
        <v>5</v>
      </c>
      <c r="F27" s="15" t="n">
        <v>2.5</v>
      </c>
      <c r="G27" s="94" t="n">
        <f aca="false">E27*INDEX('Time &amp; Cost Summary'!$B$6:$B$15,MATCH(C27,'Time &amp; Cost Summary'!$A$6:$A$15,0))</f>
        <v>5500</v>
      </c>
      <c r="H27" s="94" t="n">
        <f aca="false">F27*INDEX('Time &amp; Cost Summary'!$B$6:$B$15,MATCH(C27,'Time &amp; Cost Summary'!$A$6:$A$15,0))</f>
        <v>2750</v>
      </c>
      <c r="I27" s="105" t="n">
        <f aca="false">G27-H27</f>
        <v>2750</v>
      </c>
    </row>
    <row r="28" customFormat="false" ht="33.75" hidden="false" customHeight="true" outlineLevel="0" collapsed="false">
      <c r="A28" s="77" t="s">
        <v>240</v>
      </c>
      <c r="B28" s="12" t="s">
        <v>402</v>
      </c>
      <c r="C28" s="77" t="s">
        <v>43</v>
      </c>
      <c r="D28" s="13" t="s">
        <v>12</v>
      </c>
      <c r="E28" s="15" t="n">
        <v>4</v>
      </c>
      <c r="F28" s="15" t="n">
        <v>2</v>
      </c>
      <c r="G28" s="94" t="n">
        <f aca="false">E28*INDEX('Time &amp; Cost Summary'!$B$6:$B$15,MATCH(C28,'Time &amp; Cost Summary'!$A$6:$A$15,0))</f>
        <v>5200</v>
      </c>
      <c r="H28" s="94" t="n">
        <f aca="false">F28*INDEX('Time &amp; Cost Summary'!$B$6:$B$15,MATCH(C28,'Time &amp; Cost Summary'!$A$6:$A$15,0))</f>
        <v>2600</v>
      </c>
      <c r="I28" s="105" t="n">
        <f aca="false">G28-H28</f>
        <v>2600</v>
      </c>
    </row>
    <row r="29" customFormat="false" ht="33.75" hidden="false" customHeight="true" outlineLevel="0" collapsed="false">
      <c r="A29" s="77" t="s">
        <v>244</v>
      </c>
      <c r="B29" s="12" t="s">
        <v>403</v>
      </c>
      <c r="C29" s="77" t="s">
        <v>383</v>
      </c>
      <c r="D29" s="18" t="s">
        <v>14</v>
      </c>
      <c r="E29" s="15" t="n">
        <v>2</v>
      </c>
      <c r="F29" s="15" t="n">
        <v>1.5</v>
      </c>
      <c r="G29" s="94" t="n">
        <f aca="false">E29*INDEX('Time &amp; Cost Summary'!$B$6:$B$15,MATCH(C29,'Time &amp; Cost Summary'!$A$6:$A$15,0))</f>
        <v>2100</v>
      </c>
      <c r="H29" s="94" t="n">
        <f aca="false">F29*INDEX('Time &amp; Cost Summary'!$B$6:$B$15,MATCH(C29,'Time &amp; Cost Summary'!$A$6:$A$15,0))</f>
        <v>1575</v>
      </c>
      <c r="I29" s="105" t="n">
        <f aca="false">G29-H29</f>
        <v>525</v>
      </c>
    </row>
    <row r="30" customFormat="false" ht="33.75" hidden="false" customHeight="true" outlineLevel="0" collapsed="false">
      <c r="A30" s="77" t="s">
        <v>248</v>
      </c>
      <c r="B30" s="12" t="s">
        <v>404</v>
      </c>
      <c r="C30" s="77" t="s">
        <v>37</v>
      </c>
      <c r="D30" s="13" t="s">
        <v>12</v>
      </c>
      <c r="E30" s="15" t="n">
        <v>10</v>
      </c>
      <c r="F30" s="15" t="n">
        <v>6</v>
      </c>
      <c r="G30" s="94" t="n">
        <f aca="false">E30*INDEX('Time &amp; Cost Summary'!$B$6:$B$15,MATCH(C30,'Time &amp; Cost Summary'!$A$6:$A$15,0))</f>
        <v>11000</v>
      </c>
      <c r="H30" s="94" t="n">
        <f aca="false">F30*INDEX('Time &amp; Cost Summary'!$B$6:$B$15,MATCH(C30,'Time &amp; Cost Summary'!$A$6:$A$15,0))</f>
        <v>6600</v>
      </c>
      <c r="I30" s="105" t="n">
        <f aca="false">G30-H30</f>
        <v>4400</v>
      </c>
    </row>
    <row r="31" customFormat="false" ht="33.75" hidden="false" customHeight="true" outlineLevel="0" collapsed="false">
      <c r="A31" s="77" t="s">
        <v>252</v>
      </c>
      <c r="B31" s="12" t="s">
        <v>405</v>
      </c>
      <c r="C31" s="77" t="s">
        <v>383</v>
      </c>
      <c r="D31" s="18" t="s">
        <v>14</v>
      </c>
      <c r="E31" s="15" t="n">
        <v>1</v>
      </c>
      <c r="F31" s="15" t="n">
        <v>0.75</v>
      </c>
      <c r="G31" s="94" t="n">
        <f aca="false">E31*INDEX('Time &amp; Cost Summary'!$B$6:$B$15,MATCH(C31,'Time &amp; Cost Summary'!$A$6:$A$15,0))</f>
        <v>1050</v>
      </c>
      <c r="H31" s="94" t="n">
        <f aca="false">F31*INDEX('Time &amp; Cost Summary'!$B$6:$B$15,MATCH(C31,'Time &amp; Cost Summary'!$A$6:$A$15,0))</f>
        <v>787.5</v>
      </c>
      <c r="I31" s="105" t="n">
        <f aca="false">G31-H31</f>
        <v>262.5</v>
      </c>
    </row>
    <row r="32" customFormat="false" ht="33.75" hidden="false" customHeight="true" outlineLevel="0" collapsed="false">
      <c r="A32" s="77" t="s">
        <v>256</v>
      </c>
      <c r="B32" s="12" t="s">
        <v>406</v>
      </c>
      <c r="C32" s="77" t="s">
        <v>34</v>
      </c>
      <c r="D32" s="13" t="s">
        <v>12</v>
      </c>
      <c r="E32" s="15" t="n">
        <v>8</v>
      </c>
      <c r="F32" s="15" t="n">
        <v>4</v>
      </c>
      <c r="G32" s="94" t="n">
        <f aca="false">E32*INDEX('Time &amp; Cost Summary'!$B$6:$B$15,MATCH(C32,'Time &amp; Cost Summary'!$A$6:$A$15,0))</f>
        <v>8800</v>
      </c>
      <c r="H32" s="94" t="n">
        <f aca="false">F32*INDEX('Time &amp; Cost Summary'!$B$6:$B$15,MATCH(C32,'Time &amp; Cost Summary'!$A$6:$A$15,0))</f>
        <v>4400</v>
      </c>
      <c r="I32" s="105" t="n">
        <f aca="false">G32-H32</f>
        <v>4400</v>
      </c>
    </row>
    <row r="33" customFormat="false" ht="33.75" hidden="false" customHeight="true" outlineLevel="0" collapsed="false">
      <c r="A33" s="77" t="s">
        <v>259</v>
      </c>
      <c r="B33" s="12" t="s">
        <v>407</v>
      </c>
      <c r="C33" s="77" t="s">
        <v>43</v>
      </c>
      <c r="D33" s="18" t="s">
        <v>14</v>
      </c>
      <c r="E33" s="15" t="n">
        <v>1</v>
      </c>
      <c r="F33" s="15" t="n">
        <v>0.75</v>
      </c>
      <c r="G33" s="94" t="n">
        <f aca="false">E33*INDEX('Time &amp; Cost Summary'!$B$6:$B$15,MATCH(C33,'Time &amp; Cost Summary'!$A$6:$A$15,0))</f>
        <v>1300</v>
      </c>
      <c r="H33" s="94" t="n">
        <f aca="false">F33*INDEX('Time &amp; Cost Summary'!$B$6:$B$15,MATCH(C33,'Time &amp; Cost Summary'!$A$6:$A$15,0))</f>
        <v>975</v>
      </c>
      <c r="I33" s="105" t="n">
        <f aca="false">G33-H33</f>
        <v>325</v>
      </c>
    </row>
    <row r="34" customFormat="false" ht="33.75" hidden="false" customHeight="true" outlineLevel="0" collapsed="false">
      <c r="A34" s="77" t="s">
        <v>264</v>
      </c>
      <c r="B34" s="12" t="s">
        <v>409</v>
      </c>
      <c r="C34" s="77" t="s">
        <v>383</v>
      </c>
      <c r="D34" s="14" t="s">
        <v>10</v>
      </c>
      <c r="E34" s="15" t="n">
        <v>2</v>
      </c>
      <c r="F34" s="15" t="n">
        <v>0.5</v>
      </c>
      <c r="G34" s="94" t="n">
        <f aca="false">E34*INDEX('Time &amp; Cost Summary'!$B$6:$B$15,MATCH(C34,'Time &amp; Cost Summary'!$A$6:$A$15,0))</f>
        <v>2100</v>
      </c>
      <c r="H34" s="94" t="n">
        <f aca="false">F34*INDEX('Time &amp; Cost Summary'!$B$6:$B$15,MATCH(C34,'Time &amp; Cost Summary'!$A$6:$A$15,0))</f>
        <v>525</v>
      </c>
      <c r="I34" s="105" t="n">
        <f aca="false">G34-H34</f>
        <v>1575</v>
      </c>
    </row>
    <row r="35" customFormat="false" ht="33.75" hidden="false" customHeight="true" outlineLevel="0" collapsed="false">
      <c r="A35" s="77" t="s">
        <v>268</v>
      </c>
      <c r="B35" s="12" t="s">
        <v>410</v>
      </c>
      <c r="C35" s="77" t="s">
        <v>31</v>
      </c>
      <c r="D35" s="14" t="s">
        <v>10</v>
      </c>
      <c r="E35" s="15" t="n">
        <v>2</v>
      </c>
      <c r="F35" s="15" t="n">
        <v>0.5</v>
      </c>
      <c r="G35" s="94" t="n">
        <f aca="false">E35*INDEX('Time &amp; Cost Summary'!$B$6:$B$15,MATCH(C35,'Time &amp; Cost Summary'!$A$6:$A$15,0))</f>
        <v>2900</v>
      </c>
      <c r="H35" s="94" t="n">
        <f aca="false">F35*INDEX('Time &amp; Cost Summary'!$B$6:$B$15,MATCH(C35,'Time &amp; Cost Summary'!$A$6:$A$15,0))</f>
        <v>725</v>
      </c>
      <c r="I35" s="105" t="n">
        <f aca="false">G35-H35</f>
        <v>2175</v>
      </c>
    </row>
    <row r="36" customFormat="false" ht="33.75" hidden="false" customHeight="true" outlineLevel="0" collapsed="false">
      <c r="A36" s="77" t="s">
        <v>271</v>
      </c>
      <c r="B36" s="12" t="s">
        <v>411</v>
      </c>
      <c r="C36" s="77" t="s">
        <v>383</v>
      </c>
      <c r="D36" s="13" t="s">
        <v>12</v>
      </c>
      <c r="E36" s="15" t="n">
        <v>1</v>
      </c>
      <c r="F36" s="15" t="n">
        <v>0.5</v>
      </c>
      <c r="G36" s="94" t="n">
        <f aca="false">E36*INDEX('Time &amp; Cost Summary'!$B$6:$B$15,MATCH(C36,'Time &amp; Cost Summary'!$A$6:$A$15,0))</f>
        <v>1050</v>
      </c>
      <c r="H36" s="94" t="n">
        <f aca="false">F36*INDEX('Time &amp; Cost Summary'!$B$6:$B$15,MATCH(C36,'Time &amp; Cost Summary'!$A$6:$A$15,0))</f>
        <v>525</v>
      </c>
      <c r="I36" s="105" t="n">
        <f aca="false">G36-H36</f>
        <v>525</v>
      </c>
    </row>
    <row r="38" customFormat="false" ht="15" hidden="false" customHeight="true" outlineLevel="0" collapsed="false">
      <c r="A38" s="92" t="s">
        <v>455</v>
      </c>
    </row>
    <row r="39" customFormat="false" ht="18" hidden="false" customHeight="true" outlineLevel="0" collapsed="false">
      <c r="A39" s="9" t="s">
        <v>17</v>
      </c>
      <c r="B39" s="9" t="s">
        <v>456</v>
      </c>
    </row>
    <row r="40" customFormat="false" ht="39.75" hidden="false" customHeight="true" outlineLevel="0" collapsed="false">
      <c r="A40" s="77" t="s">
        <v>164</v>
      </c>
      <c r="B40" s="21" t="s">
        <v>457</v>
      </c>
    </row>
    <row r="41" customFormat="false" ht="39.75" hidden="false" customHeight="true" outlineLevel="0" collapsed="false">
      <c r="A41" s="77" t="s">
        <v>170</v>
      </c>
      <c r="B41" s="21" t="s">
        <v>458</v>
      </c>
    </row>
    <row r="42" customFormat="false" ht="39.75" hidden="false" customHeight="true" outlineLevel="0" collapsed="false">
      <c r="A42" s="77" t="s">
        <v>175</v>
      </c>
      <c r="B42" s="21" t="s">
        <v>459</v>
      </c>
    </row>
    <row r="43" customFormat="false" ht="39.75" hidden="false" customHeight="true" outlineLevel="0" collapsed="false">
      <c r="A43" s="77" t="s">
        <v>180</v>
      </c>
      <c r="B43" s="21" t="s">
        <v>460</v>
      </c>
    </row>
    <row r="44" customFormat="false" ht="39.75" hidden="false" customHeight="true" outlineLevel="0" collapsed="false">
      <c r="A44" s="77" t="s">
        <v>186</v>
      </c>
      <c r="B44" s="21" t="s">
        <v>461</v>
      </c>
    </row>
    <row r="45" customFormat="false" ht="39.75" hidden="false" customHeight="true" outlineLevel="0" collapsed="false">
      <c r="A45" s="77" t="s">
        <v>189</v>
      </c>
      <c r="B45" s="21" t="s">
        <v>462</v>
      </c>
    </row>
    <row r="46" customFormat="false" ht="39.75" hidden="false" customHeight="true" outlineLevel="0" collapsed="false">
      <c r="A46" s="77" t="s">
        <v>192</v>
      </c>
      <c r="B46" s="21" t="s">
        <v>463</v>
      </c>
    </row>
    <row r="47" customFormat="false" ht="39.75" hidden="false" customHeight="true" outlineLevel="0" collapsed="false">
      <c r="A47" s="77" t="s">
        <v>196</v>
      </c>
      <c r="B47" s="21" t="s">
        <v>464</v>
      </c>
    </row>
    <row r="48" customFormat="false" ht="39.75" hidden="false" customHeight="true" outlineLevel="0" collapsed="false">
      <c r="A48" s="77" t="s">
        <v>202</v>
      </c>
      <c r="B48" s="21" t="s">
        <v>465</v>
      </c>
    </row>
    <row r="49" customFormat="false" ht="39.75" hidden="false" customHeight="true" outlineLevel="0" collapsed="false">
      <c r="A49" s="77" t="s">
        <v>205</v>
      </c>
      <c r="B49" s="21" t="s">
        <v>465</v>
      </c>
    </row>
    <row r="50" customFormat="false" ht="39.75" hidden="false" customHeight="true" outlineLevel="0" collapsed="false">
      <c r="A50" s="77" t="s">
        <v>209</v>
      </c>
      <c r="B50" s="21" t="s">
        <v>466</v>
      </c>
    </row>
    <row r="51" customFormat="false" ht="39.75" hidden="false" customHeight="true" outlineLevel="0" collapsed="false">
      <c r="A51" s="77" t="s">
        <v>213</v>
      </c>
      <c r="B51" s="21" t="s">
        <v>467</v>
      </c>
    </row>
    <row r="52" customFormat="false" ht="39.75" hidden="false" customHeight="true" outlineLevel="0" collapsed="false">
      <c r="A52" s="77" t="s">
        <v>217</v>
      </c>
      <c r="B52" s="21" t="s">
        <v>468</v>
      </c>
    </row>
    <row r="53" customFormat="false" ht="39.75" hidden="false" customHeight="true" outlineLevel="0" collapsed="false">
      <c r="A53" s="77" t="s">
        <v>223</v>
      </c>
      <c r="B53" s="21" t="s">
        <v>469</v>
      </c>
    </row>
    <row r="54" customFormat="false" ht="39.75" hidden="false" customHeight="true" outlineLevel="0" collapsed="false">
      <c r="A54" s="77" t="s">
        <v>228</v>
      </c>
      <c r="B54" s="21" t="s">
        <v>470</v>
      </c>
    </row>
    <row r="55" customFormat="false" ht="39.75" hidden="false" customHeight="true" outlineLevel="0" collapsed="false">
      <c r="A55" s="77" t="s">
        <v>231</v>
      </c>
      <c r="B55" s="21" t="s">
        <v>471</v>
      </c>
    </row>
    <row r="56" customFormat="false" ht="39.75" hidden="false" customHeight="true" outlineLevel="0" collapsed="false">
      <c r="A56" s="77" t="s">
        <v>235</v>
      </c>
      <c r="B56" s="21" t="s">
        <v>472</v>
      </c>
    </row>
    <row r="57" customFormat="false" ht="39.75" hidden="false" customHeight="true" outlineLevel="0" collapsed="false">
      <c r="A57" s="77" t="s">
        <v>240</v>
      </c>
      <c r="B57" s="21" t="s">
        <v>473</v>
      </c>
    </row>
    <row r="58" customFormat="false" ht="39.75" hidden="false" customHeight="true" outlineLevel="0" collapsed="false">
      <c r="A58" s="77" t="s">
        <v>244</v>
      </c>
      <c r="B58" s="21" t="s">
        <v>474</v>
      </c>
    </row>
    <row r="59" customFormat="false" ht="39.75" hidden="false" customHeight="true" outlineLevel="0" collapsed="false">
      <c r="A59" s="77" t="s">
        <v>248</v>
      </c>
      <c r="B59" s="21" t="s">
        <v>475</v>
      </c>
    </row>
    <row r="60" customFormat="false" ht="39.75" hidden="false" customHeight="true" outlineLevel="0" collapsed="false">
      <c r="A60" s="77" t="s">
        <v>252</v>
      </c>
      <c r="B60" s="21" t="s">
        <v>476</v>
      </c>
    </row>
    <row r="61" customFormat="false" ht="39.75" hidden="false" customHeight="true" outlineLevel="0" collapsed="false">
      <c r="A61" s="77" t="s">
        <v>256</v>
      </c>
      <c r="B61" s="21" t="s">
        <v>477</v>
      </c>
    </row>
    <row r="62" customFormat="false" ht="39.75" hidden="false" customHeight="true" outlineLevel="0" collapsed="false">
      <c r="A62" s="77" t="s">
        <v>259</v>
      </c>
      <c r="B62" s="21" t="s">
        <v>478</v>
      </c>
    </row>
    <row r="63" customFormat="false" ht="39.75" hidden="false" customHeight="true" outlineLevel="0" collapsed="false">
      <c r="A63" s="77" t="s">
        <v>264</v>
      </c>
      <c r="B63" s="21" t="s">
        <v>479</v>
      </c>
    </row>
    <row r="64" customFormat="false" ht="39.75" hidden="false" customHeight="true" outlineLevel="0" collapsed="false">
      <c r="A64" s="77" t="s">
        <v>268</v>
      </c>
      <c r="B64" s="21" t="s">
        <v>480</v>
      </c>
    </row>
    <row r="65" customFormat="false" ht="39.75" hidden="false" customHeight="true" outlineLevel="0" collapsed="false">
      <c r="A65" s="77" t="s">
        <v>271</v>
      </c>
      <c r="B65" s="21" t="s">
        <v>481</v>
      </c>
    </row>
    <row r="68" customFormat="false" ht="15" hidden="false" customHeight="true" outlineLevel="0" collapsed="false">
      <c r="A68" s="106" t="s">
        <v>482</v>
      </c>
    </row>
    <row r="69" customFormat="false" ht="19.5" hidden="false" customHeight="true" outlineLevel="0" collapsed="false">
      <c r="A69" s="9"/>
      <c r="B69" s="9" t="s">
        <v>121</v>
      </c>
      <c r="C69" s="10" t="s">
        <v>122</v>
      </c>
      <c r="D69" s="10" t="s">
        <v>123</v>
      </c>
      <c r="E69" s="10" t="s">
        <v>124</v>
      </c>
    </row>
    <row r="70" customFormat="false" ht="15" hidden="false" customHeight="true" outlineLevel="0" collapsed="false">
      <c r="A70" s="107" t="s">
        <v>483</v>
      </c>
      <c r="B70" s="108" t="n">
        <f aca="false">SUM(G11:G36)</f>
        <v>130200</v>
      </c>
      <c r="C70" s="108" t="n">
        <f aca="false">SUM(H11:H36)</f>
        <v>56750</v>
      </c>
      <c r="D70" s="109" t="n">
        <f aca="false">B70-C70</f>
        <v>73450</v>
      </c>
      <c r="E70" s="110" t="n">
        <f aca="false">D70/B70</f>
        <v>0.564132104454685</v>
      </c>
    </row>
    <row r="71" customFormat="false" ht="15" hidden="false" customHeight="true" outlineLevel="0" collapsed="false">
      <c r="A71" s="111" t="s">
        <v>484</v>
      </c>
      <c r="B71" s="108" t="n">
        <f aca="false">'Time &amp; Cost Summary'!B55</f>
        <v>51000</v>
      </c>
      <c r="C71" s="108" t="n">
        <f aca="false">'Time &amp; Cost Summary'!B55</f>
        <v>51000</v>
      </c>
      <c r="D71" s="108" t="n">
        <f aca="false">B71-C71</f>
        <v>0</v>
      </c>
      <c r="E71" s="111" t="s">
        <v>127</v>
      </c>
    </row>
    <row r="72" customFormat="false" ht="15" hidden="false" customHeight="true" outlineLevel="0" collapsed="false">
      <c r="A72" s="112" t="s">
        <v>485</v>
      </c>
      <c r="B72" s="113" t="n">
        <f aca="false">B70+B71</f>
        <v>181200</v>
      </c>
      <c r="C72" s="113" t="n">
        <f aca="false">C70+C71</f>
        <v>107750</v>
      </c>
      <c r="D72" s="113" t="n">
        <f aca="false">B72-C72</f>
        <v>73450</v>
      </c>
      <c r="E72" s="114" t="n">
        <f aca="false">D72/B72</f>
        <v>0.405353200883002</v>
      </c>
    </row>
    <row r="74" customFormat="false" ht="15" hidden="false" customHeight="true" outlineLevel="0" collapsed="false">
      <c r="A74" s="115" t="s">
        <v>486</v>
      </c>
    </row>
    <row r="75" customFormat="false" ht="15" hidden="false" customHeight="true" outlineLevel="0" collapsed="false">
      <c r="A75" s="102" t="s">
        <v>10</v>
      </c>
      <c r="B75" s="38" t="n">
        <v>10</v>
      </c>
    </row>
    <row r="76" customFormat="false" ht="15" hidden="false" customHeight="true" outlineLevel="0" collapsed="false">
      <c r="A76" s="103" t="s">
        <v>12</v>
      </c>
      <c r="B76" s="38" t="n">
        <v>10</v>
      </c>
    </row>
    <row r="77" customFormat="false" ht="15" hidden="false" customHeight="true" outlineLevel="0" collapsed="false">
      <c r="A77" s="104" t="s">
        <v>14</v>
      </c>
      <c r="B77" s="38" t="n">
        <v>6</v>
      </c>
    </row>
    <row r="79" customFormat="false" ht="42" hidden="false" customHeight="true" outlineLevel="0" collapsed="false">
      <c r="A79" s="40" t="s">
        <v>487</v>
      </c>
      <c r="B79" s="40"/>
      <c r="C79" s="40"/>
      <c r="D79" s="40"/>
      <c r="E79" s="40"/>
      <c r="F79" s="40"/>
      <c r="G79" s="40"/>
      <c r="H79" s="40"/>
      <c r="I79" s="40"/>
    </row>
    <row r="81" customFormat="false" ht="27.75" hidden="false" customHeight="true" outlineLevel="0" collapsed="false">
      <c r="A81" s="41" t="s">
        <v>488</v>
      </c>
      <c r="B81" s="41"/>
      <c r="C81" s="41"/>
      <c r="D81" s="41"/>
      <c r="E81" s="41"/>
      <c r="F81" s="41"/>
      <c r="G81" s="41"/>
      <c r="H81" s="41"/>
      <c r="I81" s="41"/>
    </row>
  </sheetData>
  <mergeCells count="7">
    <mergeCell ref="A1:I1"/>
    <mergeCell ref="A2:I2"/>
    <mergeCell ref="B5:I5"/>
    <mergeCell ref="B6:I6"/>
    <mergeCell ref="B7:I7"/>
    <mergeCell ref="A79:I79"/>
    <mergeCell ref="A81:I8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2026-08-07T15:49:35Z</dcterms:created>
  <dc:creator>openpyxl</dc:creator>
  <dc:description/>
  <dc:language>en-US</dc:language>
  <cp:lastModifiedBy/>
  <dcterms:modified xsi:type="dcterms:W3CDTF">2026-08-07T17:45:22Z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