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et position" sheetId="1" state="visible" r:id="rId3"/>
    <sheet name="Assumptions" sheetId="2" state="visible" r:id="rId4"/>
    <sheet name="Additions" sheetId="3" state="visible" r:id="rId5"/>
    <sheet name="Withdrawn in v2" sheetId="4" state="visible" r:id="rId6"/>
    <sheet name="De-duplication" sheetId="5" state="visible" r:id="rId7"/>
    <sheet name="Excluded from net" sheetId="6" state="visible" r:id="rId8"/>
    <sheet name="Revised roles" sheetId="7" state="visible" r:id="rId9"/>
    <sheet name="Risks &amp; tes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<sst xmlns="http://schemas.openxmlformats.org/spreadsheetml/2006/main" count="270" uniqueCount="249">
  <si>
    <t xml:space="preserve">Net position — general-platform asset</t>
  </si>
  <si>
    <t xml:space="preserve">Every figure derives from Assumptions and Additions. Nothing on this sheet is hardcoded.</t>
  </si>
  <si>
    <t xml:space="preserve">Bridge</t>
  </si>
  <si>
    <t xml:space="preserve">FTE-months</t>
  </si>
  <si>
    <t xml:space="preserve">Cost</t>
  </si>
  <si>
    <t xml:space="preserve">vs original</t>
  </si>
  <si>
    <t xml:space="preserve">Original committed</t>
  </si>
  <si>
    <t xml:space="preserve">less de-duplication against Connect360</t>
  </si>
  <si>
    <t xml:space="preserve">plus platform-gap workstreams (A1-A6, A8)</t>
  </si>
  <si>
    <t xml:space="preserve">POSITION A — gaps, no worker application</t>
  </si>
  <si>
    <t xml:space="preserve">plus the worker application (A7)</t>
  </si>
  <si>
    <t xml:space="preserve">POSITION B — revised committed total</t>
  </si>
  <si>
    <t xml:space="preserve">Additions : reductions</t>
  </si>
  <si>
    <t xml:space="preserve">The platform credit is ~6% of the build; what the same evidence exposes is ~30%.</t>
  </si>
  <si>
    <t xml:space="preserve">DO NOT take '73 weeks released' to a partner as a saving.</t>
  </si>
  <si>
    <t xml:space="preserve">It is 73 weeks of SCHEDULE DURATION across parallel rows inside a fixed ~70-week envelope. Converted honestly to effort it is 11.33 FTE-months - 7.4% of the asset build - and it moves no milestone. Foundation Asset GA still lands at wk 24; the programme still ends at wk 70. Neither critical path was touched.</t>
  </si>
  <si>
    <t xml:space="preserve">Effect of the v2 re-frame: Position B moved from $6,330,865 to $6,316,265 - a change of $14,600, or 0.2%.</t>
  </si>
  <si>
    <t xml:space="preserve">That is not evidence the frame did not matter. It is evidence the estimate was driven by platform evidence rather than by market context, and that v1's error was one of composition and defensibility rather than of total. A geography-specific line in a reusable asset's estimate is indefensible in front of a product review whatever it sums to.</t>
  </si>
  <si>
    <t xml:space="preserve">ACE / WHPC build estimate — validation v2</t>
  </si>
  <si>
    <t xml:space="preserve">General-platform frame. Reissued 15 September 2026. Every cost on every sheet derives from B6 and B7.</t>
  </si>
  <si>
    <t xml:space="preserve">FRAME</t>
  </si>
  <si>
    <t xml:space="preserve">What is being estimated</t>
  </si>
  <si>
    <t xml:space="preserve">A general, reusable US health-payer whole-person care platform asset built on IBM Connect360 — hardened and productised for deployment by other teams and for our own multi-tenant SaaS.</t>
  </si>
  <si>
    <t xml:space="preserve">What it is NOT</t>
  </si>
  <si>
    <t xml:space="preserve">Not a response to any procurement; not a state-specific implementation. v1 of this validation imported a procurement's frame and geography and is superseded.</t>
  </si>
  <si>
    <t xml:space="preserve">Source of the frame</t>
  </si>
  <si>
    <t xml:space="preserve">The plan's own Assumptions tab: 'a reusable product asset, hardened'; 'configuration-driven and multi-tenant - a new client or state is onboarded in weeks'; 'client implementation ... separate per client - NOT in the asset totals'.</t>
  </si>
  <si>
    <t xml:space="preserve">RATE CARD — ILLUSTRATIVE, REPLACE BEFORE ISSUE</t>
  </si>
  <si>
    <t xml:space="preserve">Offshore rate ($ / FTE-month)</t>
  </si>
  <si>
    <t xml:space="preserve">User-supplied plan Assumptions tab. Marked ILLUSTRATIVE in the source workbook.</t>
  </si>
  <si>
    <t xml:space="preserve">Onshore rate ($ / FTE-month)</t>
  </si>
  <si>
    <t xml:space="preserve">BASELINE (validated to the dollar)</t>
  </si>
  <si>
    <t xml:space="preserve">Original committed FTE-months</t>
  </si>
  <si>
    <t xml:space="preserve">Plan Cost by Scope: buckets 1+2+3.</t>
  </si>
  <si>
    <t xml:space="preserve">Original committed cost</t>
  </si>
  <si>
    <t xml:space="preserve">Recomputed from the rate card at the stated per-role offshore shares; ties exactly.</t>
  </si>
  <si>
    <t xml:space="preserve">Blended offshore share, as costed</t>
  </si>
  <si>
    <t xml:space="preserve">The ACHIEVABLE blend. The plan does NOT cost at the 80% target - costing at target would understate committed scope by $1,492,185 (29.3%).</t>
  </si>
  <si>
    <t xml:space="preserve">DE-DUPLICATION CREDIT</t>
  </si>
  <si>
    <t xml:space="preserve">Duration weeks released (committed scope)</t>
  </si>
  <si>
    <t xml:space="preserve">DURATION across parallel rows inside a fixed ~70-week envelope. NOT effort. Moves no milestone.</t>
  </si>
  <si>
    <t xml:space="preserve">Effort released (FTE-months)</t>
  </si>
  <si>
    <t xml:space="preserve">5.92 offshore / 5.41 onshore. 7.4% of the asset build.</t>
  </si>
  <si>
    <t xml:space="preserve">De-duplication credit</t>
  </si>
  <si>
    <t xml:space="preserve">Recomputed from B6/B7 at 11.33 FTE-mo. Coalition per-line figure was $326,221; the $109 spread is per-line rounding.</t>
  </si>
  <si>
    <t xml:space="preserve">Blue = hardcoded input.  Black = formula.  Yellow = replace before issue.</t>
  </si>
  <si>
    <t xml:space="preserve">What the Connect360 evidence exposes</t>
  </si>
  <si>
    <t xml:space="preserve">Cost = FTE-months x (offshore share x offshore rate + onshore share x onshore rate). Rates live on Assumptions.</t>
  </si>
  <si>
    <t xml:space="preserve">Ref</t>
  </si>
  <si>
    <t xml:space="preserve">Workstream / role</t>
  </si>
  <si>
    <t xml:space="preserve">Offshore share</t>
  </si>
  <si>
    <t xml:space="preserve">Why the plan has no line for it</t>
  </si>
  <si>
    <t xml:space="preserve">A1</t>
  </si>
  <si>
    <t xml:space="preserve">Connect360 tenancy &amp; upstream-dependency lane</t>
  </si>
  <si>
    <t xml:space="preserve">Three things this build needs — a composite citizenEverything resolver, 21 unexposed change subscriptions, and matchPerson/resolveIdentity — sit in another IBM org's backlog.</t>
  </si>
  <si>
    <t xml:space="preserve">  Solution architect</t>
  </si>
  <si>
    <t xml:space="preserve">  FHIR / conform engineer</t>
  </si>
  <si>
    <t xml:space="preserve">A2</t>
  </si>
  <si>
    <t xml:space="preserve">Read-side reporting projection (CQRS)</t>
  </si>
  <si>
    <t xml:space="preserve">c360-fhir-mp-proxy blocks _total=accurate and _summary=count, so no aggregate is answerable from the FHIR path. Waves 2-5 are full of dashboards. Eight aggregate families plus the platform.</t>
  </si>
  <si>
    <t xml:space="preserve">  Knowledge-graph engineer</t>
  </si>
  <si>
    <t xml:space="preserve">  Data / integration engineer</t>
  </si>
  <si>
    <t xml:space="preserve">A8</t>
  </si>
  <si>
    <t xml:space="preserve">External I&amp;R / CIE federation adapter framework</t>
  </si>
  <si>
    <t xml:space="preserve">NEW IN v2. In most US markets a commercial closed-loop platform or a 211/AIRS operator already holds the directory and the referral loop. A reusable asset must federate with it. Pluggable framework + two reference adapters (HSDA/Open Referral pull; 360X/Direct push with status round-trip).</t>
  </si>
  <si>
    <t xml:space="preserve">A5</t>
  </si>
  <si>
    <t xml:space="preserve">Directory content-onboarding toolkit (jurisdiction-neutral)</t>
  </si>
  <si>
    <t xml:space="preserve">REPLACES v1 A5 (9.0 FTE-mo / $285,650 for one state's corpus + certified curation operation). The asset ships the LOADER; the CORPUS is per-deployment. Connector framework, AIRS-taxonomy crosswalk, de-duplication, capacity/wait-time population, assurance workflow, curation console.</t>
  </si>
  <si>
    <t xml:space="preserve">  Social-care / SDOH / CBO SME</t>
  </si>
  <si>
    <t xml:space="preserve">  UX / product designer</t>
  </si>
  <si>
    <t xml:space="preserve">A3</t>
  </si>
  <si>
    <t xml:space="preserve">Domain-verb mutation workstream (Task)</t>
  </si>
  <si>
    <t xml:space="preserve">Task mutations are generic CRUD - no acceptReferral / declineReferral(reason) / redirect / requestInformation. The state machine would live in every client and reason codes would drift. Sized 3.0 not 5.0 because the v1 Referral-tracking residual already retains the 7-stage machine.</t>
  </si>
  <si>
    <t xml:space="preserve">  Test / conformance &amp; DQ engineer</t>
  </si>
  <si>
    <t xml:space="preserve">A4</t>
  </si>
  <si>
    <t xml:space="preserve">Consent-enforcement verification + deleteConsent fix</t>
  </si>
  <si>
    <t xml:space="preserve">The consent DATA MODEL is complete; the ENFORCEMENT engine is unproven. deleteConsent destroys the disclosure-accounting trail that survives revocation under 42 CFR Part 2.</t>
  </si>
  <si>
    <t xml:space="preserve">A6</t>
  </si>
  <si>
    <t xml:space="preserve">Profile-binding verification</t>
  </si>
  <si>
    <t xml:space="preserve">Packages in a repo are not profiles bound in a running server. IG repo carries sdoh_ig_2.0.0, us_core_5.0.1, ibmch v1.0-v1.3 and 18+ SHIN-NY versions on a develop branch 149 commits ahead of main.</t>
  </si>
  <si>
    <t xml:space="preserve">SUBTOTAL — platform-gap additions (A1-A6, A8)</t>
  </si>
  <si>
    <t xml:space="preserve">A7</t>
  </si>
  <si>
    <t xml:space="preserve">Worker / caseworker application — COST EXPOSURE, NOT A SAVING</t>
  </si>
  <si>
    <t xml:space="preserve">No worker UI exists in Connect360 - only API surface. The staffing model contains NO front-end or application engineering role at all: 4.3 FTE-mo of UX design across 72 weeks and zero build, against ~16 worker-facing surfaces. 112 worker-facing duration weeks remain after de-duplication; at 1.0 concurrent front-end engineer, 112/4.33 = 26.0 FTE-mo. THIS IS THE FLOOR, NOT THE ESTIMATE.</t>
  </si>
  <si>
    <t xml:space="preserve">  Front-end / application engineer (NEW ROLE — does not exist in the model)</t>
  </si>
  <si>
    <t xml:space="preserve">  UX / product designer (uplift)</t>
  </si>
  <si>
    <t xml:space="preserve">  QA / test engineer (uplift)</t>
  </si>
  <si>
    <t xml:space="preserve">TOTAL ADDITIONS (A1-A8)</t>
  </si>
  <si>
    <t xml:space="preserve">A7 range, stated because the concurrency assumption IS the number: at 1.5 concurrent front-end engineers (prudent for 16 screen families) A7 = 46.0 FTE-mo / $1,029,950.</t>
  </si>
  <si>
    <t xml:space="preserve">Carried at the floor so the net position cannot be accused of padding. Tell the partner the number is 33 only if one engineer is genuinely enough.</t>
  </si>
  <si>
    <t xml:space="preserve">What v1 claimed and v2 withdraws</t>
  </si>
  <si>
    <t xml:space="preserve">v1 scored a payer platform asset against a state health-and-human-services procurement and carried that procurement's geography into the estimate.</t>
  </si>
  <si>
    <t xml:space="preserve">v1 item</t>
  </si>
  <si>
    <t xml:space="preserve">v1 FTE-mo</t>
  </si>
  <si>
    <t xml:space="preserve">v1 cost</t>
  </si>
  <si>
    <t xml:space="preserve">Why it is invalid for a platform asset</t>
  </si>
  <si>
    <t xml:space="preserve">Replaced by</t>
  </si>
  <si>
    <t xml:space="preserve">State directory corpus + certified curation operation</t>
  </si>
  <si>
    <t xml:space="preserve">A named jurisdiction's corpus and its staffed curation run function are PER-DEPLOYMENT CONTENT, not asset build. The asset owes the loader, not the content.</t>
  </si>
  <si>
    <t xml:space="preserve">A5' Directory content-onboarding toolkit — 5.5 FTE-mo / $128,150</t>
  </si>
  <si>
    <t xml:space="preserve">RT2</t>
  </si>
  <si>
    <t xml:space="preserve">'The target state already has an incumbent CIE' as a competitive finding</t>
  </si>
  <si>
    <t xml:space="preserve">A single market's competitive position is not an input to a reusable asset's cost. The underlying FACT was right and generalises.</t>
  </si>
  <si>
    <t xml:space="preserve">A8 External I&amp;R / CIE federation adapter framework — 6.0 FTE-mo / $142,900</t>
  </si>
  <si>
    <t xml:space="preserve">—</t>
  </si>
  <si>
    <t xml:space="preserve">Tribal / IHS data-sovereignty lane</t>
  </si>
  <si>
    <t xml:space="preserve">Geography-specific.</t>
  </si>
  <si>
    <t xml:space="preserve">Configurability-is-asserted-never-tested finding (Risks &amp; tests)</t>
  </si>
  <si>
    <t xml:space="preserve">Programme funding-cycle argument</t>
  </si>
  <si>
    <t xml:space="preserve">Every requirement-coverage reference to the CIE procurement</t>
  </si>
  <si>
    <t xml:space="preserve">Not the scope being estimated.</t>
  </si>
  <si>
    <t xml:space="preserve">State-specific residual language throughout the de-duplication register</t>
  </si>
  <si>
    <t xml:space="preserve">'state value sets', 'state fixtures', 'state topology', 'state program eligibility' etc. rewritten as configurability residuals.</t>
  </si>
  <si>
    <t xml:space="preserve">See De-duplication sheet</t>
  </si>
  <si>
    <t xml:space="preserve">WHAT SURVIVES, UNCHANGED AND RE-TESTED UNDER THE CORRECTED FRAME</t>
  </si>
  <si>
    <t xml:space="preserve">The arithmetic validation of the model — every bucket, subtotal and per-role split ties to the rate card to the dollar.</t>
  </si>
  <si>
    <t xml:space="preserve">All five model defects, chiefly: NO FRONT-END OR APPLICATION ENGINEERING ROLE EXISTS ANYWHERE IN THE PLAN.</t>
  </si>
  <si>
    <t xml:space="preserve">The duration-versus-effort correction: 73 weeks is 11.33 FTE-months and moves no milestone.</t>
  </si>
  <si>
    <t xml:space="preserve">The de-duplication logic for platform-generic capabilities — 4 C360_WINS, 30 SPLIT, 59 RETAIN, 1 ALREADY_CREDITED.</t>
  </si>
  <si>
    <t xml:space="preserve">The worker-application exposure (A7) — a general platform still needs worker UI.</t>
  </si>
  <si>
    <t xml:space="preserve">Additions A1, A2, A3, A4 and A6, unchanged.</t>
  </si>
  <si>
    <t xml:space="preserve">The EMPI mispricing finding — the largest single mispriced item in the pack.</t>
  </si>
  <si>
    <t xml:space="preserve">The rate sensitivity: onshore is 2.85x more sensitive than offshore.</t>
  </si>
  <si>
    <t xml:space="preserve">What Connect360 genuinely removes</t>
  </si>
  <si>
    <t xml:space="preserve">94 phased Gantt rows adjudicated. WksReleased is DURATION, not effort.</t>
  </si>
  <si>
    <t xml:space="preserve">Adjudication</t>
  </si>
  <si>
    <t xml:space="preserve">Rows</t>
  </si>
  <si>
    <t xml:space="preserve">Released by wave</t>
  </si>
  <si>
    <t xml:space="preserve">Weeks</t>
  </si>
  <si>
    <t xml:space="preserve">C360_WINS</t>
  </si>
  <si>
    <t xml:space="preserve">W0</t>
  </si>
  <si>
    <t xml:space="preserve">SPLIT</t>
  </si>
  <si>
    <t xml:space="preserve">W1 Design+Build</t>
  </si>
  <si>
    <t xml:space="preserve">RETAIN</t>
  </si>
  <si>
    <t xml:space="preserve">W1 Secondary</t>
  </si>
  <si>
    <t xml:space="preserve">ALREADY_CREDITED</t>
  </si>
  <si>
    <t xml:space="preserve">W2</t>
  </si>
  <si>
    <t xml:space="preserve">TOTAL</t>
  </si>
  <si>
    <t xml:space="preserve">W3</t>
  </si>
  <si>
    <t xml:space="preserve">W4</t>
  </si>
  <si>
    <t xml:space="preserve">W5</t>
  </si>
  <si>
    <t xml:space="preserve">Client / Improve / Cross-cutting</t>
  </si>
  <si>
    <t xml:space="preserve">CMS (optional, outside committed)</t>
  </si>
  <si>
    <t xml:space="preserve">Committed-scope total</t>
  </si>
  <si>
    <t xml:space="preserve">Largest reductions, by effort released</t>
  </si>
  <si>
    <t xml:space="preserve">Plan wks</t>
  </si>
  <si>
    <t xml:space="preserve">FTE-mo released</t>
  </si>
  <si>
    <t xml:space="preserve">Why Connect360 wins</t>
  </si>
  <si>
    <t xml:space="preserve">Multi-tenant isolation &amp; tenant onboarding</t>
  </si>
  <si>
    <t xml:space="preserve">/{tenantId}/{resourceType}; proxy asserts URL tenantId matches token; tenant-scoped HSDS schema</t>
  </si>
  <si>
    <t xml:space="preserve">Consent &amp; sensitivity labelling at conform</t>
  </si>
  <si>
    <t xml:space="preserve">Full R4 ConsentProvision{securityLabel, purpose, actor, period, action, data, provision(recursive)}</t>
  </si>
  <si>
    <t xml:space="preserve">Consent policy governance</t>
  </si>
  <si>
    <t xml:space="preserve">ConsentPolicy{authority, uri}, ConsentVerification, balp_ig_1.1.2 loaded</t>
  </si>
  <si>
    <t xml:space="preserve">Integrated data-spine design</t>
  </si>
  <si>
    <t xml:space="preserve">ibmch v1.3, us_core_5.0.1, sdoh_ig_2.0.0 fix the target shape</t>
  </si>
  <si>
    <t xml:space="preserve">Referral tracking + journey tracker</t>
  </si>
  <si>
    <t xml:space="preserve">serviceRequestsForOrganization; Task{status, statusReason, businessStatus}</t>
  </si>
  <si>
    <t xml:space="preserve">DELIBERATELY NOT REDUCED</t>
  </si>
  <si>
    <t xml:space="preserve">Every client-implementation row; security authorisation and pen test; programme governance; CMS conformance testing; every dashboard line (the proxy blocks _total=accurate and _summary=count, so reporting is architecturally thin rather than incidentally missing); every real-time line (one subscription field against 22 change-payload types); the whole agent and knowledge-graph stack; the claims spine; and the four continuous lanes - releasing duration from a lane whose span IS the programme envelope is meaningless.</t>
  </si>
  <si>
    <t xml:space="preserve">THE CREDIT IS HELD AT 11.33 FTE-mo, AND THE GENERAL FRAME ARGUES AGAINST IT, NOT FOR IT.</t>
  </si>
  <si>
    <t xml:space="preserve">Every retained residual is now a CONFIGURABILITY residual rather than a one-jurisdiction residual: a value-set binding layer for N deployments is not the same size as one state's value sets, and neither is a per-deployment consent-policy authoring surface. Holding the credit constant while the residuals grow is the unfavourable direction for this memo and it is left there deliberately. Sizing the configurability delta is an OPEN ITEM, not a claimed saving.</t>
  </si>
  <si>
    <t xml:space="preserve">Two costs the asset frame makes visible — both excluded from the net</t>
  </si>
  <si>
    <t xml:space="preserve">Excluded because they are conditional or separately staffed. Both will be asked for.</t>
  </si>
  <si>
    <t xml:space="preserve">Item</t>
  </si>
  <si>
    <t xml:space="preserve">FTE-mo (low)</t>
  </si>
  <si>
    <t xml:space="preserve">FTE-mo (high)</t>
  </si>
  <si>
    <t xml:space="preserve">Cost (low)</t>
  </si>
  <si>
    <t xml:space="preserve">Cost (high)</t>
  </si>
  <si>
    <t xml:space="preserve">Basis</t>
  </si>
  <si>
    <t xml:space="preserve">Per-deployment implementation unit</t>
  </si>
  <si>
    <t xml:space="preserve">The plan is right that client implementation sits outside the asset totals - but a PRODUCT needs a repeatable 'cost to stand up deployment N', and the plan gives it a memo line. The Gantt's own client rows imply it: liaisons wk 10-40, R1 deploy, consent/PHI real-data enablement, EMPI match tuning, security authorisation and pen test, pilot-to-production glide path, at 2-3 concurrent liaisons across ~28 weeks. Costed at a 25% offshore liaison mix. A5's withdrawn $157,500 lands here.</t>
  </si>
  <si>
    <t xml:space="preserve">Certification lane (HITRUST r2 / SOC 2 Type II)</t>
  </si>
  <si>
    <t xml:space="preserve">No HITRUST, SOC 2, FedRAMP or StateRAMP is evidenced anywhere, and Azure's certifications do not transfer to a solution running on Azure. For a one-off project this is a conditional. FOR A REUSABLE ASSET IT IS STRUCTURAL: the first buyer asks and the answer travels to every subsequent one. Third-party assessor fees sit OUTSIDE this rate card entirely.</t>
  </si>
  <si>
    <t xml:space="preserve">Blended rate used: per-deployment $37,250/FTE-mo (25% offshore); certification $40,000/FTE-mo (mostly onshore, internal only).</t>
  </si>
  <si>
    <t xml:space="preserve">Revised per-role model — asset build (buckets 1+2)</t>
  </si>
  <si>
    <t xml:space="preserve">Original roles at their stated offshore shares reproduce $4,317,595 and 54.3% offshore EXACTLY. That validation earns the right to the rest.</t>
  </si>
  <si>
    <t xml:space="preserve">Role</t>
  </si>
  <si>
    <t xml:space="preserve">Original FTE-mo</t>
  </si>
  <si>
    <t xml:space="preserve">Released</t>
  </si>
  <si>
    <t xml:space="preserve">Added</t>
  </si>
  <si>
    <t xml:space="preserve">Revised FTE-mo</t>
  </si>
  <si>
    <t xml:space="preserve">Revised cost</t>
  </si>
  <si>
    <t xml:space="preserve">Data / integration engineer</t>
  </si>
  <si>
    <t xml:space="preserve">FHIR / conform engineer</t>
  </si>
  <si>
    <t xml:space="preserve">Knowledge-graph engineer</t>
  </si>
  <si>
    <t xml:space="preserve">Intelligence / engine (ML) engineer</t>
  </si>
  <si>
    <t xml:space="preserve">AI / agent orchestration engineer</t>
  </si>
  <si>
    <t xml:space="preserve">Platform / DevSecOps engineer</t>
  </si>
  <si>
    <t xml:space="preserve">Terminology / coding specialist</t>
  </si>
  <si>
    <t xml:space="preserve">QA / test engineer</t>
  </si>
  <si>
    <t xml:space="preserve">Test / conformance &amp; DQ engineer</t>
  </si>
  <si>
    <t xml:space="preserve">Engagement / programme lead</t>
  </si>
  <si>
    <t xml:space="preserve">Solution architect</t>
  </si>
  <si>
    <t xml:space="preserve">UX / product designer</t>
  </si>
  <si>
    <t xml:space="preserve">Solution consulting / field enablement</t>
  </si>
  <si>
    <t xml:space="preserve">Clinical / Medicaid-policy SME</t>
  </si>
  <si>
    <t xml:space="preserve">Behavioral-health SME</t>
  </si>
  <si>
    <t xml:space="preserve">Social-care / SDOH / CBO SME</t>
  </si>
  <si>
    <t xml:space="preserve">Security / penetration test</t>
  </si>
  <si>
    <t xml:space="preserve">Front-end / application engineer (NEW ROLE)</t>
  </si>
  <si>
    <t xml:space="preserve">ASSET-BUILD TOTAL</t>
  </si>
  <si>
    <t xml:space="preserve">The revised blended offshore share rises to ~60% from 54.3%, because the additions are engineering-heavy (front-end, knowledge-graph, data/integration, conformance test) and those roles carry offshore shares of 70-100%. It remains below the CORRECTED 72.21% ceiling and well below the 80% target - the structural onshore floor is unchanged and the architect and SME additions are pure onshore.</t>
  </si>
  <si>
    <t xml:space="preserve">Reconciliation: this table sums to ~$5,540,092 against a bucket-derived asset build of $5,540,015 - a $77 spread from per-line rounding of the released column (1.01, 1.77, ... vs 11.33 exactly). The Net position sheet uses the bucket-derived figure so that every number follows from the two rate cells.</t>
  </si>
  <si>
    <t xml:space="preserve">Open risks, and the tests that retire them</t>
  </si>
  <si>
    <t xml:space="preserve">None of these was run before '73 weeks released' was claimed. Six are under a day.</t>
  </si>
  <si>
    <t xml:space="preserve">#</t>
  </si>
  <si>
    <t xml:space="preserve">Test</t>
  </si>
  <si>
    <t xml:space="preserve">Effort</t>
  </si>
  <si>
    <t xml:space="preserve">What it decides</t>
  </si>
  <si>
    <t xml:space="preserve">Exposure</t>
  </si>
  <si>
    <t xml:space="preserve">securityLabel enforcement — write a Consent, query as an out-of-provision principal</t>
  </si>
  <si>
    <t xml:space="preserve">1 hour</t>
  </si>
  <si>
    <t xml:space="preserve">Whether Medplum filters provision.securityLabel at QUERY TIME. If it does not, the conform pipeline writes labels nothing enforces - worse than no labelling, because the asset's security documentation will then claim a segmentation it does not deliver, and that claim is carried into EVERY client ATO the asset is handed into. One deployment can discover it; a product propagates it.</t>
  </si>
  <si>
    <t xml:space="preserve">+$400k-600k, and reverses 1.22 FTE-mo of credit</t>
  </si>
  <si>
    <t xml:space="preserve">Does the EMPI exist, is it multi-tenant, can it be fronted?</t>
  </si>
  <si>
    <t xml:space="preserve">1 call</t>
  </si>
  <si>
    <t xml:space="preserve">The plan budgets 11 weeks to INTEGRATE Connect360's EMPI over PIX/PDQ. There is no $match, no PIX, no PDQ at the gateway, and the EMPI's existence rests on a verbal statement. If absent, single-tenant-bound or unfrontable, identity resolution with survivorship and a stewardship queue lands ON the critical path. Mark RED-UNVERIFIED, not ALREADY_CREDITED.</t>
  </si>
  <si>
    <t xml:space="preserve">+$715k-1.0M</t>
  </si>
  <si>
    <t xml:space="preserve">Written commitment from the connect360-saas team on citizenEverything, the 21 unexposed subscriptions and matchPerson, with dates</t>
  </si>
  <si>
    <t xml:space="preserve">Ask in writing</t>
  </si>
  <si>
    <t xml:space="preserve">Three reductions are booked against another IBM org's unscheduled backlog. The fallback is worse than the schedule risk: polling is blocked by the proxy's count restrictions, and consuming NATS directly BYPASSES c360-fhir-mp-proxy, the sole enforcer of tenant isolation. Under the asset frame this is sharper still - Foundation Asset GA at wk 24 is a promise made to client implementation teams.</t>
  </si>
  <si>
    <t xml:space="preserve">Schedule; credit withdrawal</t>
  </si>
  <si>
    <t xml:space="preserve">Is a worker application anywhere in the 36 repos?</t>
  </si>
  <si>
    <t xml:space="preserve">Get the repo list</t>
  </si>
  <si>
    <t xml:space="preserve">Whether A7 is an exposure or a credit.</t>
  </si>
  <si>
    <t xml:space="preserve">$727k</t>
  </si>
  <si>
    <t xml:space="preserve">Are the SDOHCC profiles bound, not just packaged?</t>
  </si>
  <si>
    <t xml:space="preserve">Fetch CapabilityStatement, run one $validate</t>
  </si>
  <si>
    <t xml:space="preserve">Packages in a repo are not profiles bound in a running server. The develop branch is 149 commits ahead of main.</t>
  </si>
  <si>
    <t xml:space="preserve">A6 scope; conformance claims</t>
  </si>
  <si>
    <t xml:space="preserve">Name the two reference external networks the asset ships adapters for, and get their API terms in writing</t>
  </si>
  <si>
    <t xml:space="preserve">1-2 calls</t>
  </si>
  <si>
    <t xml:space="preserve">Whether A8 is 6.0 FTE-mo of engineering or a partnership dependency with a named failure mode.</t>
  </si>
  <si>
    <t xml:space="preserve">A8 scope; market access</t>
  </si>
  <si>
    <t xml:space="preserve">Has the v8 deck already spent the screening credit?</t>
  </si>
  <si>
    <t xml:space="preserve">Read slide 06a</t>
  </si>
  <si>
    <t xml:space="preserve">Slide 06a says social/behavioural screening is 'a Connect360 capability we integrate - not built here', which risks crediting the same scope twice.</t>
  </si>
  <si>
    <t xml:space="preserve">Double-count</t>
  </si>
  <si>
    <t xml:space="preserve">Stand up a SECOND REFERENCE CONFIGURATION - different payer shape, different value-set pack, different consent posture - and time it</t>
  </si>
  <si>
    <t xml:space="preserve">2-3 weeks</t>
  </si>
  <si>
    <t xml:space="preserve">ONLY THE ASSET FRAME ASKS FOR THIS. The Assumptions tab promises 'a new client or state is onboarded in weeks, not re-implemented', and every variable that promise depends on - consent regime, minor-consent age, Part 2 posture, value sets, program eligibility, benefit rules, directory taxonomy, attribution - is a configuration surface with no line, no test and no second reference configuration in the plan. AN ASSET THAT HAS ONLY EVER BEEN CONFIGURED ONCE HAS NOT BEEN PROVEN CONFIGURABLE.</t>
  </si>
  <si>
    <t xml:space="preserve">The core product claim</t>
  </si>
  <si>
    <t xml:space="preserve">ALSO UNPRICED</t>
  </si>
  <si>
    <t xml:space="preserve">Internal chargeback for consuming another IBM P&amp;L's platform - zero dollars in a $5.09M estimate.</t>
  </si>
  <si>
    <t xml:space="preserve">Version coupling to a develop branch 149 commits ahead of main.</t>
  </si>
  <si>
    <t xml:space="preserve">No costed exit if the Connect360 dependency fails at month nine.</t>
  </si>
  <si>
    <t xml:space="preserve">Configurability is asserted and never tested - see test 8.</t>
  </si>
  <si>
    <t xml:space="preserve">CONFIDENCE: high on sign, medium-low on magnitude. Additions exceed reductions 4.75x and no plausible parameter reverses that. Swings that matter: worker-app concurrency +/-$303k; consent test failure +$400-600k; certification +$400-560k; EMPI absent +$715k-1.0M; onshore rate +/-20% +/-$754k.</t>
  </si>
</sst>
</file>

<file path=xl/styles.xml><?xml version="1.0" encoding="utf-8"?>
<styleSheet xmlns="http://schemas.openxmlformats.org/spreadsheetml/2006/main">
  <numFmts count="6">
    <numFmt numFmtId="164" formatCode="General"/>
    <numFmt numFmtId="165" formatCode="#,##0.00;\(#,##0.00\);\-"/>
    <numFmt numFmtId="166" formatCode="\$#,##0;&quot;($&quot;#,##0\);\-"/>
    <numFmt numFmtId="167" formatCode="\+0.0%;\-0.0%"/>
    <numFmt numFmtId="168" formatCode="0.00\x"/>
    <numFmt numFmtId="169"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C00000"/>
      <name val="Arial"/>
      <family val="0"/>
      <charset val="1"/>
    </font>
    <font>
      <b val="true"/>
      <sz val="10"/>
      <color rgb="FF0000FF"/>
      <name val="Arial"/>
      <family val="0"/>
      <charset val="1"/>
    </font>
    <font>
      <sz val="10"/>
      <color rgb="FF0000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2F3"/>
        <bgColor rgb="FFFCE4D6"/>
      </patternFill>
    </fill>
    <fill>
      <patternFill patternType="solid">
        <fgColor rgb="FFFFFF00"/>
        <bgColor rgb="FFFFFF00"/>
      </patternFill>
    </fill>
    <fill>
      <patternFill patternType="solid">
        <fgColor rgb="FFFCE4D6"/>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18"/>
    <col collapsed="false" customWidth="true" hidden="false" outlineLevel="0" max="4" min="4"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row>
    <row r="5" customFormat="false" ht="15" hidden="false" customHeight="false" outlineLevel="0" collapsed="false">
      <c r="A5" s="4" t="s">
        <v>6</v>
      </c>
      <c r="B5" s="5" t="n">
        <f aca="false">Assumptions!$B$14</f>
        <v>178.3</v>
      </c>
      <c r="C5" s="6" t="n">
        <f aca="false">Assumptions!$B$15</f>
        <v>5093845</v>
      </c>
      <c r="D5" s="7"/>
    </row>
    <row r="6" customFormat="false" ht="15" hidden="false" customHeight="false" outlineLevel="0" collapsed="false">
      <c r="A6" s="4" t="s">
        <v>7</v>
      </c>
      <c r="B6" s="5" t="n">
        <f aca="false">-Assumptions!$B$20</f>
        <v>-11.33</v>
      </c>
      <c r="C6" s="6" t="n">
        <f aca="false">-Assumptions!$B$21</f>
        <v>-326330</v>
      </c>
      <c r="D6" s="8" t="n">
        <f aca="false">C6/$C$5</f>
        <v>-0.0640635904704599</v>
      </c>
    </row>
    <row r="7" customFormat="false" ht="15" hidden="false" customHeight="false" outlineLevel="0" collapsed="false">
      <c r="A7" s="4" t="s">
        <v>8</v>
      </c>
      <c r="B7" s="5" t="n">
        <f aca="false">Additions!$C$28</f>
        <v>35</v>
      </c>
      <c r="C7" s="6" t="n">
        <f aca="false">Additions!$E$28</f>
        <v>821700</v>
      </c>
      <c r="D7" s="8" t="n">
        <f aca="false">C7/$C$5</f>
        <v>0.161312328898897</v>
      </c>
    </row>
    <row r="8" customFormat="false" ht="15" hidden="false" customHeight="false" outlineLevel="0" collapsed="false">
      <c r="A8" s="9" t="s">
        <v>9</v>
      </c>
      <c r="B8" s="10" t="n">
        <f aca="false">B5+B6+B7</f>
        <v>201.97</v>
      </c>
      <c r="C8" s="11" t="n">
        <f aca="false">C5+C6+C7</f>
        <v>5589215</v>
      </c>
      <c r="D8" s="12" t="n">
        <f aca="false">C8/$C$5-1</f>
        <v>0.0972487384284366</v>
      </c>
    </row>
    <row r="9" customFormat="false" ht="15" hidden="false" customHeight="false" outlineLevel="0" collapsed="false">
      <c r="A9" s="4" t="s">
        <v>10</v>
      </c>
      <c r="B9" s="5" t="n">
        <f aca="false">Additions!$C$30</f>
        <v>33</v>
      </c>
      <c r="C9" s="6" t="n">
        <f aca="false">Additions!$E$30</f>
        <v>727050</v>
      </c>
      <c r="D9" s="8" t="n">
        <f aca="false">C9/$C$5</f>
        <v>0.142731080352857</v>
      </c>
    </row>
    <row r="10" customFormat="false" ht="15" hidden="false" customHeight="false" outlineLevel="0" collapsed="false">
      <c r="A10" s="9" t="s">
        <v>11</v>
      </c>
      <c r="B10" s="10" t="n">
        <f aca="false">B8+B9</f>
        <v>234.97</v>
      </c>
      <c r="C10" s="11" t="n">
        <f aca="false">C8+C9</f>
        <v>6316265</v>
      </c>
      <c r="D10" s="12" t="n">
        <f aca="false">C10/$C$5-1</f>
        <v>0.239979818781294</v>
      </c>
    </row>
    <row r="12" customFormat="false" ht="15" hidden="false" customHeight="false" outlineLevel="0" collapsed="false">
      <c r="A12" s="13" t="s">
        <v>12</v>
      </c>
      <c r="C12" s="14" t="n">
        <f aca="false">(Additions!$E$28+Additions!$E$30)/Assumptions!$B$21</f>
        <v>4.74596267581896</v>
      </c>
      <c r="D12" s="2" t="s">
        <v>13</v>
      </c>
    </row>
    <row r="14" customFormat="false" ht="13.5" hidden="false" customHeight="true" outlineLevel="0" collapsed="false">
      <c r="A14" s="15" t="s">
        <v>14</v>
      </c>
      <c r="B14" s="15"/>
      <c r="C14" s="15"/>
      <c r="D14" s="15"/>
    </row>
    <row r="15" customFormat="false" ht="42" hidden="false" customHeight="true" outlineLevel="0" collapsed="false">
      <c r="A15" s="16" t="s">
        <v>15</v>
      </c>
      <c r="B15" s="16"/>
      <c r="C15" s="16"/>
      <c r="D15" s="16"/>
    </row>
    <row r="16" customFormat="false" ht="13.5" hidden="false" customHeight="true" outlineLevel="0" collapsed="false">
      <c r="A16" s="16"/>
      <c r="B16" s="16"/>
      <c r="C16" s="16"/>
      <c r="D16" s="16"/>
    </row>
    <row r="17" customFormat="false" ht="42" hidden="false" customHeight="true" outlineLevel="0" collapsed="false">
      <c r="A17" s="17" t="s">
        <v>16</v>
      </c>
      <c r="B17" s="17"/>
      <c r="C17" s="17"/>
      <c r="D17" s="17"/>
    </row>
    <row r="18" customFormat="false" ht="42" hidden="false" customHeight="true" outlineLevel="0" collapsed="false">
      <c r="A18" s="16" t="s">
        <v>17</v>
      </c>
      <c r="B18" s="16"/>
      <c r="C18" s="16"/>
      <c r="D18" s="16"/>
    </row>
  </sheetData>
  <mergeCells count="5">
    <mergeCell ref="A14:D14"/>
    <mergeCell ref="A15:D15"/>
    <mergeCell ref="A16:D16"/>
    <mergeCell ref="A17:D17"/>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84"/>
  </cols>
  <sheetData>
    <row r="1" customFormat="false" ht="17.35" hidden="false" customHeight="false" outlineLevel="0" collapsed="false">
      <c r="A1" s="1" t="s">
        <v>18</v>
      </c>
    </row>
    <row r="2" customFormat="false" ht="15" hidden="false" customHeight="false" outlineLevel="0" collapsed="false">
      <c r="A2" s="2" t="s">
        <v>19</v>
      </c>
    </row>
    <row r="4" customFormat="false" ht="15" hidden="false" customHeight="false" outlineLevel="0" collapsed="false">
      <c r="A4" s="18" t="s">
        <v>20</v>
      </c>
    </row>
    <row r="5" customFormat="false" ht="23.85" hidden="false" customHeight="false" outlineLevel="0" collapsed="false">
      <c r="A5" s="19" t="s">
        <v>21</v>
      </c>
      <c r="C5" s="20" t="s">
        <v>22</v>
      </c>
    </row>
    <row r="6" customFormat="false" ht="23.85" hidden="false" customHeight="false" outlineLevel="0" collapsed="false">
      <c r="A6" s="19" t="s">
        <v>23</v>
      </c>
      <c r="C6" s="20" t="s">
        <v>24</v>
      </c>
    </row>
    <row r="7" customFormat="false" ht="35.05" hidden="false" customHeight="false" outlineLevel="0" collapsed="false">
      <c r="A7" s="19" t="s">
        <v>25</v>
      </c>
      <c r="C7" s="20" t="s">
        <v>26</v>
      </c>
    </row>
    <row r="8" customFormat="false" ht="15" hidden="false" customHeight="false" outlineLevel="0" collapsed="false">
      <c r="A8" s="13"/>
    </row>
    <row r="9" customFormat="false" ht="15" hidden="false" customHeight="false" outlineLevel="0" collapsed="false">
      <c r="A9" s="18" t="s">
        <v>27</v>
      </c>
    </row>
    <row r="10" customFormat="false" ht="15" hidden="false" customHeight="false" outlineLevel="0" collapsed="false">
      <c r="A10" s="19" t="s">
        <v>28</v>
      </c>
      <c r="B10" s="21" t="n">
        <v>14000</v>
      </c>
      <c r="C10" s="20" t="s">
        <v>29</v>
      </c>
    </row>
    <row r="11" customFormat="false" ht="15" hidden="false" customHeight="false" outlineLevel="0" collapsed="false">
      <c r="A11" s="19" t="s">
        <v>30</v>
      </c>
      <c r="B11" s="21" t="n">
        <v>45000</v>
      </c>
      <c r="C11" s="20" t="s">
        <v>29</v>
      </c>
    </row>
    <row r="12" customFormat="false" ht="15" hidden="false" customHeight="false" outlineLevel="0" collapsed="false">
      <c r="A12" s="13"/>
    </row>
    <row r="13" customFormat="false" ht="15" hidden="false" customHeight="false" outlineLevel="0" collapsed="false">
      <c r="A13" s="18" t="s">
        <v>31</v>
      </c>
    </row>
    <row r="14" customFormat="false" ht="15" hidden="false" customHeight="false" outlineLevel="0" collapsed="false">
      <c r="A14" s="19" t="s">
        <v>32</v>
      </c>
      <c r="B14" s="22" t="n">
        <v>178.3</v>
      </c>
      <c r="C14" s="20" t="s">
        <v>33</v>
      </c>
    </row>
    <row r="15" customFormat="false" ht="15" hidden="false" customHeight="false" outlineLevel="0" collapsed="false">
      <c r="A15" s="19" t="s">
        <v>34</v>
      </c>
      <c r="B15" s="23" t="n">
        <v>5093845</v>
      </c>
      <c r="C15" s="20" t="s">
        <v>35</v>
      </c>
    </row>
    <row r="16" customFormat="false" ht="23.85" hidden="false" customHeight="false" outlineLevel="0" collapsed="false">
      <c r="A16" s="19" t="s">
        <v>36</v>
      </c>
      <c r="B16" s="24" t="n">
        <v>0.543</v>
      </c>
      <c r="C16" s="20" t="s">
        <v>37</v>
      </c>
    </row>
    <row r="17" customFormat="false" ht="15" hidden="false" customHeight="false" outlineLevel="0" collapsed="false">
      <c r="A17" s="13"/>
    </row>
    <row r="18" customFormat="false" ht="15" hidden="false" customHeight="false" outlineLevel="0" collapsed="false">
      <c r="A18" s="18" t="s">
        <v>38</v>
      </c>
    </row>
    <row r="19" customFormat="false" ht="15" hidden="false" customHeight="false" outlineLevel="0" collapsed="false">
      <c r="A19" s="19" t="s">
        <v>39</v>
      </c>
      <c r="B19" s="22" t="n">
        <v>73</v>
      </c>
      <c r="C19" s="20" t="s">
        <v>40</v>
      </c>
    </row>
    <row r="20" customFormat="false" ht="15" hidden="false" customHeight="false" outlineLevel="0" collapsed="false">
      <c r="A20" s="19" t="s">
        <v>41</v>
      </c>
      <c r="B20" s="22" t="n">
        <v>11.33</v>
      </c>
      <c r="C20" s="20" t="s">
        <v>42</v>
      </c>
    </row>
    <row r="21" customFormat="false" ht="23.85" hidden="false" customHeight="false" outlineLevel="0" collapsed="false">
      <c r="A21" s="19" t="s">
        <v>43</v>
      </c>
      <c r="B21" s="23" t="n">
        <v>326330</v>
      </c>
      <c r="C21" s="20" t="s">
        <v>44</v>
      </c>
    </row>
    <row r="23" customFormat="false" ht="15" hidden="false" customHeight="false" outlineLevel="0" collapsed="false">
      <c r="A23" s="2"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4" min="3" style="0" width="14"/>
    <col collapsed="false" customWidth="true" hidden="false" outlineLevel="0" max="5" min="5" style="0" width="16"/>
    <col collapsed="false" customWidth="true" hidden="false" outlineLevel="0" max="6" min="6" style="0" width="84"/>
  </cols>
  <sheetData>
    <row r="1" customFormat="false" ht="17.35" hidden="false" customHeight="false" outlineLevel="0" collapsed="false">
      <c r="A1" s="1" t="s">
        <v>46</v>
      </c>
    </row>
    <row r="2" customFormat="false" ht="15" hidden="false" customHeight="false" outlineLevel="0" collapsed="false">
      <c r="A2" s="2" t="s">
        <v>47</v>
      </c>
    </row>
    <row r="4" customFormat="false" ht="30" hidden="false" customHeight="true" outlineLevel="0" collapsed="false">
      <c r="A4" s="3" t="s">
        <v>48</v>
      </c>
      <c r="B4" s="3" t="s">
        <v>49</v>
      </c>
      <c r="C4" s="3" t="s">
        <v>3</v>
      </c>
      <c r="D4" s="3" t="s">
        <v>50</v>
      </c>
      <c r="E4" s="3" t="s">
        <v>4</v>
      </c>
      <c r="F4" s="3" t="s">
        <v>51</v>
      </c>
    </row>
    <row r="5" customFormat="false" ht="23.85" hidden="false" customHeight="false" outlineLevel="0" collapsed="false">
      <c r="A5" s="9" t="s">
        <v>52</v>
      </c>
      <c r="B5" s="9" t="s">
        <v>53</v>
      </c>
      <c r="C5" s="10" t="n">
        <f aca="false">SUM(C6:C7)</f>
        <v>6</v>
      </c>
      <c r="D5" s="25"/>
      <c r="E5" s="11" t="n">
        <f aca="false">SUM(E6:E7)</f>
        <v>204900</v>
      </c>
      <c r="F5" s="26" t="s">
        <v>54</v>
      </c>
    </row>
    <row r="6" customFormat="false" ht="15" hidden="false" customHeight="false" outlineLevel="0" collapsed="false">
      <c r="A6" s="27"/>
      <c r="B6" s="4" t="s">
        <v>55</v>
      </c>
      <c r="C6" s="28" t="n">
        <v>3</v>
      </c>
      <c r="D6" s="29" t="n">
        <v>0</v>
      </c>
      <c r="E6" s="6" t="n">
        <f aca="false">C6*(D6*Assumptions!$B$10+(1-D6)*Assumptions!$B$11)</f>
        <v>135000</v>
      </c>
      <c r="F6" s="30"/>
    </row>
    <row r="7" customFormat="false" ht="15" hidden="false" customHeight="false" outlineLevel="0" collapsed="false">
      <c r="A7" s="27"/>
      <c r="B7" s="4" t="s">
        <v>56</v>
      </c>
      <c r="C7" s="28" t="n">
        <v>3</v>
      </c>
      <c r="D7" s="29" t="n">
        <v>0.7</v>
      </c>
      <c r="E7" s="6" t="n">
        <f aca="false">C7*(D7*Assumptions!$B$10+(1-D7)*Assumptions!$B$11)</f>
        <v>69900</v>
      </c>
      <c r="F7" s="30"/>
    </row>
    <row r="8" customFormat="false" ht="23.85" hidden="false" customHeight="false" outlineLevel="0" collapsed="false">
      <c r="A8" s="9" t="s">
        <v>57</v>
      </c>
      <c r="B8" s="9" t="s">
        <v>58</v>
      </c>
      <c r="C8" s="10" t="n">
        <f aca="false">SUM(C9:C10)</f>
        <v>10</v>
      </c>
      <c r="D8" s="25"/>
      <c r="E8" s="11" t="n">
        <f aca="false">SUM(E9:E10)</f>
        <v>195800</v>
      </c>
      <c r="F8" s="26" t="s">
        <v>59</v>
      </c>
    </row>
    <row r="9" customFormat="false" ht="15" hidden="false" customHeight="false" outlineLevel="0" collapsed="false">
      <c r="A9" s="27"/>
      <c r="B9" s="4" t="s">
        <v>60</v>
      </c>
      <c r="C9" s="28" t="n">
        <v>6</v>
      </c>
      <c r="D9" s="29" t="n">
        <v>0.7</v>
      </c>
      <c r="E9" s="6" t="n">
        <f aca="false">C9*(D9*Assumptions!$B$10+(1-D9)*Assumptions!$B$11)</f>
        <v>139800</v>
      </c>
      <c r="F9" s="30"/>
    </row>
    <row r="10" customFormat="false" ht="15" hidden="false" customHeight="false" outlineLevel="0" collapsed="false">
      <c r="A10" s="27"/>
      <c r="B10" s="4" t="s">
        <v>61</v>
      </c>
      <c r="C10" s="28" t="n">
        <v>4</v>
      </c>
      <c r="D10" s="29" t="n">
        <v>1</v>
      </c>
      <c r="E10" s="6" t="n">
        <f aca="false">C10*(D10*Assumptions!$B$10+(1-D10)*Assumptions!$B$11)</f>
        <v>56000</v>
      </c>
      <c r="F10" s="30"/>
    </row>
    <row r="11" customFormat="false" ht="35.05" hidden="false" customHeight="false" outlineLevel="0" collapsed="false">
      <c r="A11" s="9" t="s">
        <v>62</v>
      </c>
      <c r="B11" s="9" t="s">
        <v>63</v>
      </c>
      <c r="C11" s="10" t="n">
        <f aca="false">SUM(C12:C14)</f>
        <v>6</v>
      </c>
      <c r="D11" s="25"/>
      <c r="E11" s="11" t="n">
        <f aca="false">SUM(E12:E14)</f>
        <v>142900</v>
      </c>
      <c r="F11" s="26" t="s">
        <v>64</v>
      </c>
    </row>
    <row r="12" customFormat="false" ht="15" hidden="false" customHeight="false" outlineLevel="0" collapsed="false">
      <c r="A12" s="27"/>
      <c r="B12" s="4" t="s">
        <v>56</v>
      </c>
      <c r="C12" s="28" t="n">
        <v>3</v>
      </c>
      <c r="D12" s="29" t="n">
        <v>0.7</v>
      </c>
      <c r="E12" s="6" t="n">
        <f aca="false">C12*(D12*Assumptions!$B$10+(1-D12)*Assumptions!$B$11)</f>
        <v>69900</v>
      </c>
      <c r="F12" s="30"/>
    </row>
    <row r="13" customFormat="false" ht="15" hidden="false" customHeight="false" outlineLevel="0" collapsed="false">
      <c r="A13" s="27"/>
      <c r="B13" s="4" t="s">
        <v>61</v>
      </c>
      <c r="C13" s="28" t="n">
        <v>2</v>
      </c>
      <c r="D13" s="29" t="n">
        <v>1</v>
      </c>
      <c r="E13" s="6" t="n">
        <f aca="false">C13*(D13*Assumptions!$B$10+(1-D13)*Assumptions!$B$11)</f>
        <v>28000</v>
      </c>
      <c r="F13" s="30"/>
    </row>
    <row r="14" customFormat="false" ht="15" hidden="false" customHeight="false" outlineLevel="0" collapsed="false">
      <c r="A14" s="27"/>
      <c r="B14" s="4" t="s">
        <v>55</v>
      </c>
      <c r="C14" s="28" t="n">
        <v>1</v>
      </c>
      <c r="D14" s="29" t="n">
        <v>0</v>
      </c>
      <c r="E14" s="6" t="n">
        <f aca="false">C14*(D14*Assumptions!$B$10+(1-D14)*Assumptions!$B$11)</f>
        <v>45000</v>
      </c>
      <c r="F14" s="30"/>
    </row>
    <row r="15" customFormat="false" ht="35.05" hidden="false" customHeight="false" outlineLevel="0" collapsed="false">
      <c r="A15" s="9" t="s">
        <v>65</v>
      </c>
      <c r="B15" s="9" t="s">
        <v>66</v>
      </c>
      <c r="C15" s="10" t="n">
        <f aca="false">SUM(C16:C18)</f>
        <v>5.5</v>
      </c>
      <c r="D15" s="25"/>
      <c r="E15" s="11" t="n">
        <f aca="false">SUM(E16:E18)</f>
        <v>128150</v>
      </c>
      <c r="F15" s="26" t="s">
        <v>67</v>
      </c>
    </row>
    <row r="16" customFormat="false" ht="15" hidden="false" customHeight="false" outlineLevel="0" collapsed="false">
      <c r="A16" s="27"/>
      <c r="B16" s="4" t="s">
        <v>68</v>
      </c>
      <c r="C16" s="28" t="n">
        <v>1.5</v>
      </c>
      <c r="D16" s="29" t="n">
        <v>0</v>
      </c>
      <c r="E16" s="6" t="n">
        <f aca="false">C16*(D16*Assumptions!$B$10+(1-D16)*Assumptions!$B$11)</f>
        <v>67500</v>
      </c>
      <c r="F16" s="30"/>
    </row>
    <row r="17" customFormat="false" ht="15" hidden="false" customHeight="false" outlineLevel="0" collapsed="false">
      <c r="A17" s="27"/>
      <c r="B17" s="4" t="s">
        <v>61</v>
      </c>
      <c r="C17" s="28" t="n">
        <v>3</v>
      </c>
      <c r="D17" s="29" t="n">
        <v>1</v>
      </c>
      <c r="E17" s="6" t="n">
        <f aca="false">C17*(D17*Assumptions!$B$10+(1-D17)*Assumptions!$B$11)</f>
        <v>42000</v>
      </c>
      <c r="F17" s="30"/>
    </row>
    <row r="18" customFormat="false" ht="15" hidden="false" customHeight="false" outlineLevel="0" collapsed="false">
      <c r="A18" s="27"/>
      <c r="B18" s="4" t="s">
        <v>69</v>
      </c>
      <c r="C18" s="28" t="n">
        <v>1</v>
      </c>
      <c r="D18" s="29" t="n">
        <v>0.85</v>
      </c>
      <c r="E18" s="6" t="n">
        <f aca="false">C18*(D18*Assumptions!$B$10+(1-D18)*Assumptions!$B$11)</f>
        <v>18650</v>
      </c>
      <c r="F18" s="30"/>
    </row>
    <row r="19" customFormat="false" ht="35.05" hidden="false" customHeight="false" outlineLevel="0" collapsed="false">
      <c r="A19" s="9" t="s">
        <v>70</v>
      </c>
      <c r="B19" s="9" t="s">
        <v>71</v>
      </c>
      <c r="C19" s="10" t="n">
        <f aca="false">SUM(C20:C21)</f>
        <v>3</v>
      </c>
      <c r="D19" s="25"/>
      <c r="E19" s="11" t="n">
        <f aca="false">SUM(E20:E21)</f>
        <v>63700</v>
      </c>
      <c r="F19" s="26" t="s">
        <v>72</v>
      </c>
    </row>
    <row r="20" customFormat="false" ht="15" hidden="false" customHeight="false" outlineLevel="0" collapsed="false">
      <c r="A20" s="27"/>
      <c r="B20" s="4" t="s">
        <v>56</v>
      </c>
      <c r="C20" s="28" t="n">
        <v>2</v>
      </c>
      <c r="D20" s="29" t="n">
        <v>0.7</v>
      </c>
      <c r="E20" s="6" t="n">
        <f aca="false">C20*(D20*Assumptions!$B$10+(1-D20)*Assumptions!$B$11)</f>
        <v>46600</v>
      </c>
      <c r="F20" s="30"/>
    </row>
    <row r="21" customFormat="false" ht="15" hidden="false" customHeight="false" outlineLevel="0" collapsed="false">
      <c r="A21" s="27"/>
      <c r="B21" s="4" t="s">
        <v>73</v>
      </c>
      <c r="C21" s="28" t="n">
        <v>1</v>
      </c>
      <c r="D21" s="29" t="n">
        <v>0.9</v>
      </c>
      <c r="E21" s="6" t="n">
        <f aca="false">C21*(D21*Assumptions!$B$10+(1-D21)*Assumptions!$B$11)</f>
        <v>17100</v>
      </c>
      <c r="F21" s="30"/>
    </row>
    <row r="22" customFormat="false" ht="23.85" hidden="false" customHeight="false" outlineLevel="0" collapsed="false">
      <c r="A22" s="9" t="s">
        <v>74</v>
      </c>
      <c r="B22" s="9" t="s">
        <v>75</v>
      </c>
      <c r="C22" s="10" t="n">
        <f aca="false">SUM(C23:C24)</f>
        <v>2.5</v>
      </c>
      <c r="D22" s="25"/>
      <c r="E22" s="11" t="n">
        <f aca="false">SUM(E23:E24)</f>
        <v>48950</v>
      </c>
      <c r="F22" s="26" t="s">
        <v>76</v>
      </c>
    </row>
    <row r="23" customFormat="false" ht="15" hidden="false" customHeight="false" outlineLevel="0" collapsed="false">
      <c r="A23" s="27"/>
      <c r="B23" s="4" t="s">
        <v>73</v>
      </c>
      <c r="C23" s="28" t="n">
        <v>1.5</v>
      </c>
      <c r="D23" s="29" t="n">
        <v>0.9</v>
      </c>
      <c r="E23" s="6" t="n">
        <f aca="false">C23*(D23*Assumptions!$B$10+(1-D23)*Assumptions!$B$11)</f>
        <v>25650</v>
      </c>
      <c r="F23" s="30"/>
    </row>
    <row r="24" customFormat="false" ht="15" hidden="false" customHeight="false" outlineLevel="0" collapsed="false">
      <c r="A24" s="27"/>
      <c r="B24" s="4" t="s">
        <v>56</v>
      </c>
      <c r="C24" s="28" t="n">
        <v>1</v>
      </c>
      <c r="D24" s="29" t="n">
        <v>0.7</v>
      </c>
      <c r="E24" s="6" t="n">
        <f aca="false">C24*(D24*Assumptions!$B$10+(1-D24)*Assumptions!$B$11)</f>
        <v>23300</v>
      </c>
      <c r="F24" s="30"/>
    </row>
    <row r="25" customFormat="false" ht="35.05" hidden="false" customHeight="false" outlineLevel="0" collapsed="false">
      <c r="A25" s="9" t="s">
        <v>77</v>
      </c>
      <c r="B25" s="9" t="s">
        <v>78</v>
      </c>
      <c r="C25" s="10" t="n">
        <f aca="false">SUM(C26:C27)</f>
        <v>2</v>
      </c>
      <c r="D25" s="25"/>
      <c r="E25" s="11" t="n">
        <f aca="false">SUM(E26:E27)</f>
        <v>37300</v>
      </c>
      <c r="F25" s="26" t="s">
        <v>79</v>
      </c>
    </row>
    <row r="26" customFormat="false" ht="15" hidden="false" customHeight="false" outlineLevel="0" collapsed="false">
      <c r="A26" s="27"/>
      <c r="B26" s="4" t="s">
        <v>73</v>
      </c>
      <c r="C26" s="28" t="n">
        <v>1.5</v>
      </c>
      <c r="D26" s="29" t="n">
        <v>0.9</v>
      </c>
      <c r="E26" s="6" t="n">
        <f aca="false">C26*(D26*Assumptions!$B$10+(1-D26)*Assumptions!$B$11)</f>
        <v>25650</v>
      </c>
      <c r="F26" s="30"/>
    </row>
    <row r="27" customFormat="false" ht="15" hidden="false" customHeight="false" outlineLevel="0" collapsed="false">
      <c r="A27" s="27"/>
      <c r="B27" s="4" t="s">
        <v>56</v>
      </c>
      <c r="C27" s="28" t="n">
        <v>0.5</v>
      </c>
      <c r="D27" s="29" t="n">
        <v>0.7</v>
      </c>
      <c r="E27" s="6" t="n">
        <f aca="false">C27*(D27*Assumptions!$B$10+(1-D27)*Assumptions!$B$11)</f>
        <v>11650</v>
      </c>
      <c r="F27" s="30"/>
    </row>
    <row r="28" customFormat="false" ht="15" hidden="false" customHeight="false" outlineLevel="0" collapsed="false">
      <c r="A28" s="9"/>
      <c r="B28" s="9" t="s">
        <v>80</v>
      </c>
      <c r="C28" s="10" t="n">
        <f aca="false">C5+C8+C11+C15+C19+C22+C25</f>
        <v>35</v>
      </c>
      <c r="D28" s="9"/>
      <c r="E28" s="11" t="n">
        <f aca="false">E5+E8+E11+E15+E19+E22+E25</f>
        <v>821700</v>
      </c>
      <c r="F28" s="9"/>
    </row>
    <row r="30" customFormat="false" ht="68.65" hidden="false" customHeight="false" outlineLevel="0" collapsed="false">
      <c r="A30" s="31" t="s">
        <v>81</v>
      </c>
      <c r="B30" s="32" t="s">
        <v>82</v>
      </c>
      <c r="C30" s="33" t="n">
        <f aca="false">SUM(C31:C33)</f>
        <v>33</v>
      </c>
      <c r="D30" s="34"/>
      <c r="E30" s="35" t="n">
        <f aca="false">SUM(E31:E33)</f>
        <v>727050</v>
      </c>
      <c r="F30" s="36" t="s">
        <v>83</v>
      </c>
    </row>
    <row r="31" customFormat="false" ht="15" hidden="false" customHeight="false" outlineLevel="0" collapsed="false">
      <c r="A31" s="7"/>
      <c r="B31" s="4" t="s">
        <v>84</v>
      </c>
      <c r="C31" s="28" t="n">
        <v>26</v>
      </c>
      <c r="D31" s="29" t="n">
        <v>0.7</v>
      </c>
      <c r="E31" s="6" t="n">
        <f aca="false">C31*(D31*Assumptions!$B$10+(1-D31)*Assumptions!$B$11)</f>
        <v>605800</v>
      </c>
      <c r="F31" s="7"/>
    </row>
    <row r="32" customFormat="false" ht="15" hidden="false" customHeight="false" outlineLevel="0" collapsed="false">
      <c r="A32" s="7"/>
      <c r="B32" s="4" t="s">
        <v>85</v>
      </c>
      <c r="C32" s="28" t="n">
        <v>4</v>
      </c>
      <c r="D32" s="29" t="n">
        <v>0.85</v>
      </c>
      <c r="E32" s="6" t="n">
        <f aca="false">C32*(D32*Assumptions!$B$10+(1-D32)*Assumptions!$B$11)</f>
        <v>74600</v>
      </c>
      <c r="F32" s="7"/>
    </row>
    <row r="33" customFormat="false" ht="15" hidden="false" customHeight="false" outlineLevel="0" collapsed="false">
      <c r="A33" s="7"/>
      <c r="B33" s="4" t="s">
        <v>86</v>
      </c>
      <c r="C33" s="28" t="n">
        <v>3</v>
      </c>
      <c r="D33" s="29" t="n">
        <v>0.95</v>
      </c>
      <c r="E33" s="6" t="n">
        <f aca="false">C33*(D33*Assumptions!$B$10+(1-D33)*Assumptions!$B$11)</f>
        <v>46650</v>
      </c>
      <c r="F33" s="7"/>
    </row>
    <row r="35" customFormat="false" ht="15" hidden="false" customHeight="false" outlineLevel="0" collapsed="false">
      <c r="A35" s="9"/>
      <c r="B35" s="9" t="s">
        <v>87</v>
      </c>
      <c r="C35" s="10" t="n">
        <f aca="false">C28+C30</f>
        <v>68</v>
      </c>
      <c r="D35" s="9"/>
      <c r="E35" s="11" t="n">
        <f aca="false">E28+E30</f>
        <v>1548750</v>
      </c>
      <c r="F35" s="9"/>
    </row>
    <row r="37" customFormat="false" ht="15" hidden="false" customHeight="false" outlineLevel="0" collapsed="false">
      <c r="B37" s="2" t="s">
        <v>88</v>
      </c>
    </row>
    <row r="38" customFormat="false" ht="15" hidden="false" customHeight="false" outlineLevel="0" collapsed="false">
      <c r="B38" s="2"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4"/>
    <col collapsed="false" customWidth="true" hidden="false" outlineLevel="0" max="3" min="3" style="0" width="12"/>
    <col collapsed="false" customWidth="true" hidden="false" outlineLevel="0" max="4" min="4" style="0" width="14"/>
    <col collapsed="false" customWidth="true" hidden="false" outlineLevel="0" max="5" min="5" style="0" width="66"/>
    <col collapsed="false" customWidth="true" hidden="false" outlineLevel="0" max="6" min="6" style="0" width="40"/>
  </cols>
  <sheetData>
    <row r="1" customFormat="false" ht="17.35" hidden="false" customHeight="false" outlineLevel="0" collapsed="false">
      <c r="A1" s="1" t="s">
        <v>90</v>
      </c>
    </row>
    <row r="2" customFormat="false" ht="15" hidden="false" customHeight="false" outlineLevel="0" collapsed="false">
      <c r="A2" s="2" t="s">
        <v>91</v>
      </c>
    </row>
    <row r="4" customFormat="false" ht="30" hidden="false" customHeight="true" outlineLevel="0" collapsed="false">
      <c r="A4" s="3" t="s">
        <v>48</v>
      </c>
      <c r="B4" s="3" t="s">
        <v>92</v>
      </c>
      <c r="C4" s="3" t="s">
        <v>93</v>
      </c>
      <c r="D4" s="3" t="s">
        <v>94</v>
      </c>
      <c r="E4" s="3" t="s">
        <v>95</v>
      </c>
      <c r="F4" s="3" t="s">
        <v>96</v>
      </c>
    </row>
    <row r="5" customFormat="false" ht="39.75" hidden="false" customHeight="true" outlineLevel="0" collapsed="false">
      <c r="A5" s="27" t="s">
        <v>65</v>
      </c>
      <c r="B5" s="4" t="s">
        <v>97</v>
      </c>
      <c r="C5" s="5" t="n">
        <v>9</v>
      </c>
      <c r="D5" s="6" t="n">
        <v>285650</v>
      </c>
      <c r="E5" s="30" t="s">
        <v>98</v>
      </c>
      <c r="F5" s="30" t="s">
        <v>99</v>
      </c>
    </row>
    <row r="6" customFormat="false" ht="39.75" hidden="false" customHeight="true" outlineLevel="0" collapsed="false">
      <c r="A6" s="27" t="s">
        <v>100</v>
      </c>
      <c r="B6" s="4" t="s">
        <v>101</v>
      </c>
      <c r="C6" s="7"/>
      <c r="D6" s="7"/>
      <c r="E6" s="30" t="s">
        <v>102</v>
      </c>
      <c r="F6" s="30" t="s">
        <v>103</v>
      </c>
    </row>
    <row r="7" customFormat="false" ht="39.75" hidden="false" customHeight="true" outlineLevel="0" collapsed="false">
      <c r="A7" s="27" t="s">
        <v>104</v>
      </c>
      <c r="B7" s="4" t="s">
        <v>105</v>
      </c>
      <c r="C7" s="7"/>
      <c r="D7" s="7"/>
      <c r="E7" s="30" t="s">
        <v>106</v>
      </c>
      <c r="F7" s="30" t="s">
        <v>107</v>
      </c>
    </row>
    <row r="8" customFormat="false" ht="39.75" hidden="false" customHeight="true" outlineLevel="0" collapsed="false">
      <c r="A8" s="27" t="s">
        <v>104</v>
      </c>
      <c r="B8" s="4" t="s">
        <v>108</v>
      </c>
      <c r="C8" s="7"/>
      <c r="D8" s="7"/>
      <c r="E8" s="30" t="s">
        <v>106</v>
      </c>
      <c r="F8" s="30" t="s">
        <v>104</v>
      </c>
    </row>
    <row r="9" customFormat="false" ht="39.75" hidden="false" customHeight="true" outlineLevel="0" collapsed="false">
      <c r="A9" s="27" t="s">
        <v>104</v>
      </c>
      <c r="B9" s="4" t="s">
        <v>109</v>
      </c>
      <c r="C9" s="7"/>
      <c r="D9" s="7"/>
      <c r="E9" s="30" t="s">
        <v>110</v>
      </c>
      <c r="F9" s="30" t="s">
        <v>104</v>
      </c>
    </row>
    <row r="10" customFormat="false" ht="39.75" hidden="false" customHeight="true" outlineLevel="0" collapsed="false">
      <c r="A10" s="27" t="s">
        <v>104</v>
      </c>
      <c r="B10" s="4" t="s">
        <v>111</v>
      </c>
      <c r="C10" s="7"/>
      <c r="D10" s="7"/>
      <c r="E10" s="30" t="s">
        <v>112</v>
      </c>
      <c r="F10" s="30" t="s">
        <v>113</v>
      </c>
    </row>
    <row r="12" customFormat="false" ht="15" hidden="false" customHeight="false" outlineLevel="0" collapsed="false">
      <c r="A12" s="13" t="s">
        <v>114</v>
      </c>
    </row>
    <row r="13" customFormat="false" ht="15" hidden="false" customHeight="false" outlineLevel="0" collapsed="false">
      <c r="B13" s="19" t="s">
        <v>115</v>
      </c>
    </row>
    <row r="14" customFormat="false" ht="15" hidden="false" customHeight="false" outlineLevel="0" collapsed="false">
      <c r="B14" s="19" t="s">
        <v>116</v>
      </c>
    </row>
    <row r="15" customFormat="false" ht="15" hidden="false" customHeight="false" outlineLevel="0" collapsed="false">
      <c r="B15" s="19" t="s">
        <v>117</v>
      </c>
    </row>
    <row r="16" customFormat="false" ht="15" hidden="false" customHeight="false" outlineLevel="0" collapsed="false">
      <c r="B16" s="19" t="s">
        <v>118</v>
      </c>
    </row>
    <row r="17" customFormat="false" ht="15" hidden="false" customHeight="false" outlineLevel="0" collapsed="false">
      <c r="B17" s="19" t="s">
        <v>119</v>
      </c>
    </row>
    <row r="18" customFormat="false" ht="15" hidden="false" customHeight="false" outlineLevel="0" collapsed="false">
      <c r="B18" s="19" t="s">
        <v>120</v>
      </c>
    </row>
    <row r="19" customFormat="false" ht="15" hidden="false" customHeight="false" outlineLevel="0" collapsed="false">
      <c r="B19" s="19" t="s">
        <v>121</v>
      </c>
    </row>
    <row r="20" customFormat="false" ht="15" hidden="false" customHeight="false" outlineLevel="0" collapsed="false">
      <c r="B20" s="19"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3" min="3" style="0" width="16"/>
    <col collapsed="false" customWidth="true" hidden="false" outlineLevel="0" max="4" min="4" style="0" width="90"/>
    <col collapsed="false" customWidth="true" hidden="false" outlineLevel="0" max="5" min="5" style="0" width="10"/>
  </cols>
  <sheetData>
    <row r="1" customFormat="false" ht="17.35" hidden="false" customHeight="false" outlineLevel="0" collapsed="false">
      <c r="A1" s="1" t="s">
        <v>123</v>
      </c>
    </row>
    <row r="2" customFormat="false" ht="15" hidden="false" customHeight="false" outlineLevel="0" collapsed="false">
      <c r="A2" s="2" t="s">
        <v>124</v>
      </c>
    </row>
    <row r="4" customFormat="false" ht="30" hidden="false" customHeight="true" outlineLevel="0" collapsed="false">
      <c r="A4" s="3" t="s">
        <v>125</v>
      </c>
      <c r="B4" s="3" t="s">
        <v>126</v>
      </c>
      <c r="C4" s="3"/>
      <c r="D4" s="3" t="s">
        <v>127</v>
      </c>
      <c r="E4" s="3" t="s">
        <v>128</v>
      </c>
    </row>
    <row r="5" customFormat="false" ht="15" hidden="false" customHeight="false" outlineLevel="0" collapsed="false">
      <c r="A5" s="19" t="s">
        <v>129</v>
      </c>
      <c r="B5" s="19" t="n">
        <v>4</v>
      </c>
      <c r="D5" s="19" t="s">
        <v>130</v>
      </c>
      <c r="E5" s="19" t="n">
        <v>1</v>
      </c>
    </row>
    <row r="6" customFormat="false" ht="15" hidden="false" customHeight="false" outlineLevel="0" collapsed="false">
      <c r="A6" s="19" t="s">
        <v>131</v>
      </c>
      <c r="B6" s="19" t="n">
        <v>30</v>
      </c>
      <c r="D6" s="19" t="s">
        <v>132</v>
      </c>
      <c r="E6" s="19" t="n">
        <v>43</v>
      </c>
    </row>
    <row r="7" customFormat="false" ht="15" hidden="false" customHeight="false" outlineLevel="0" collapsed="false">
      <c r="A7" s="19" t="s">
        <v>133</v>
      </c>
      <c r="B7" s="19" t="n">
        <v>59</v>
      </c>
      <c r="D7" s="19" t="s">
        <v>134</v>
      </c>
      <c r="E7" s="19" t="n">
        <v>2</v>
      </c>
    </row>
    <row r="8" customFormat="false" ht="15" hidden="false" customHeight="false" outlineLevel="0" collapsed="false">
      <c r="A8" s="19" t="s">
        <v>135</v>
      </c>
      <c r="B8" s="19" t="n">
        <v>1</v>
      </c>
      <c r="D8" s="19" t="s">
        <v>136</v>
      </c>
      <c r="E8" s="19" t="n">
        <v>2</v>
      </c>
    </row>
    <row r="9" customFormat="false" ht="15" hidden="false" customHeight="false" outlineLevel="0" collapsed="false">
      <c r="A9" s="13" t="s">
        <v>137</v>
      </c>
      <c r="B9" s="13" t="n">
        <f aca="false">SUM(B5:B8)</f>
        <v>94</v>
      </c>
      <c r="D9" s="19" t="s">
        <v>138</v>
      </c>
      <c r="E9" s="19" t="n">
        <v>7</v>
      </c>
    </row>
    <row r="10" customFormat="false" ht="15" hidden="false" customHeight="false" outlineLevel="0" collapsed="false">
      <c r="D10" s="19" t="s">
        <v>139</v>
      </c>
      <c r="E10" s="19" t="n">
        <v>17</v>
      </c>
    </row>
    <row r="11" customFormat="false" ht="15" hidden="false" customHeight="false" outlineLevel="0" collapsed="false">
      <c r="D11" s="19" t="s">
        <v>140</v>
      </c>
      <c r="E11" s="19" t="n">
        <v>1</v>
      </c>
    </row>
    <row r="12" customFormat="false" ht="15" hidden="false" customHeight="false" outlineLevel="0" collapsed="false">
      <c r="D12" s="19" t="s">
        <v>141</v>
      </c>
      <c r="E12" s="19" t="n">
        <v>0</v>
      </c>
    </row>
    <row r="13" customFormat="false" ht="15" hidden="false" customHeight="false" outlineLevel="0" collapsed="false">
      <c r="D13" s="19" t="s">
        <v>142</v>
      </c>
      <c r="E13" s="19" t="n">
        <v>2</v>
      </c>
    </row>
    <row r="14" customFormat="false" ht="15" hidden="false" customHeight="false" outlineLevel="0" collapsed="false">
      <c r="D14" s="13" t="s">
        <v>143</v>
      </c>
      <c r="E14" s="13" t="n">
        <f aca="false">SUM(E5:E13)-E13</f>
        <v>73</v>
      </c>
    </row>
    <row r="17" customFormat="false" ht="30" hidden="false" customHeight="true" outlineLevel="0" collapsed="false">
      <c r="A17" s="3" t="s">
        <v>144</v>
      </c>
      <c r="B17" s="3" t="s">
        <v>145</v>
      </c>
      <c r="C17" s="3" t="s">
        <v>146</v>
      </c>
      <c r="D17" s="3" t="s">
        <v>147</v>
      </c>
    </row>
    <row r="18" customFormat="false" ht="15" hidden="false" customHeight="false" outlineLevel="0" collapsed="false">
      <c r="A18" s="4" t="s">
        <v>148</v>
      </c>
      <c r="B18" s="4" t="n">
        <v>13</v>
      </c>
      <c r="C18" s="5" t="n">
        <v>1.2</v>
      </c>
      <c r="D18" s="30" t="s">
        <v>149</v>
      </c>
    </row>
    <row r="19" customFormat="false" ht="15" hidden="false" customHeight="false" outlineLevel="0" collapsed="false">
      <c r="A19" s="4" t="s">
        <v>150</v>
      </c>
      <c r="B19" s="4" t="n">
        <v>9</v>
      </c>
      <c r="C19" s="5" t="n">
        <v>0.61</v>
      </c>
      <c r="D19" s="30" t="s">
        <v>151</v>
      </c>
    </row>
    <row r="20" customFormat="false" ht="15" hidden="false" customHeight="false" outlineLevel="0" collapsed="false">
      <c r="A20" s="4" t="s">
        <v>152</v>
      </c>
      <c r="B20" s="4" t="n">
        <v>11</v>
      </c>
      <c r="C20" s="5" t="n">
        <v>0.61</v>
      </c>
      <c r="D20" s="30" t="s">
        <v>153</v>
      </c>
    </row>
    <row r="21" customFormat="false" ht="15" hidden="false" customHeight="false" outlineLevel="0" collapsed="false">
      <c r="A21" s="4" t="s">
        <v>154</v>
      </c>
      <c r="B21" s="4" t="n">
        <v>3</v>
      </c>
      <c r="C21" s="5" t="n">
        <v>0.61</v>
      </c>
      <c r="D21" s="30" t="s">
        <v>155</v>
      </c>
    </row>
    <row r="22" customFormat="false" ht="15" hidden="false" customHeight="false" outlineLevel="0" collapsed="false">
      <c r="A22" s="4" t="s">
        <v>156</v>
      </c>
      <c r="B22" s="4" t="n">
        <v>9</v>
      </c>
      <c r="C22" s="5" t="n">
        <v>0.58</v>
      </c>
      <c r="D22" s="30" t="s">
        <v>157</v>
      </c>
    </row>
    <row r="24" customFormat="false" ht="15" hidden="false" customHeight="false" outlineLevel="0" collapsed="false">
      <c r="A24" s="13" t="s">
        <v>158</v>
      </c>
    </row>
    <row r="25" customFormat="false" ht="55.5" hidden="false" customHeight="true" outlineLevel="0" collapsed="false">
      <c r="A25" s="16" t="s">
        <v>159</v>
      </c>
      <c r="B25" s="16"/>
      <c r="C25" s="16"/>
      <c r="D25" s="16"/>
    </row>
    <row r="27" customFormat="false" ht="15" hidden="false" customHeight="false" outlineLevel="0" collapsed="false">
      <c r="A27" s="37" t="s">
        <v>160</v>
      </c>
    </row>
    <row r="28" customFormat="false" ht="55.5" hidden="false" customHeight="true" outlineLevel="0" collapsed="false">
      <c r="A28" s="16" t="s">
        <v>161</v>
      </c>
      <c r="B28" s="16"/>
      <c r="C28" s="16"/>
      <c r="D28" s="16"/>
    </row>
  </sheetData>
  <mergeCells count="2">
    <mergeCell ref="A25:D25"/>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4"/>
    <col collapsed="false" customWidth="true" hidden="false" outlineLevel="0" max="5" min="4" style="0" width="16"/>
    <col collapsed="false" customWidth="true" hidden="false" outlineLevel="0" max="6" min="6" style="0" width="86"/>
  </cols>
  <sheetData>
    <row r="1" customFormat="false" ht="17.35" hidden="false" customHeight="false" outlineLevel="0" collapsed="false">
      <c r="A1" s="1" t="s">
        <v>162</v>
      </c>
    </row>
    <row r="2" customFormat="false" ht="15" hidden="false" customHeight="false" outlineLevel="0" collapsed="false">
      <c r="A2" s="2" t="s">
        <v>163</v>
      </c>
    </row>
    <row r="4" customFormat="false" ht="30" hidden="false" customHeight="true" outlineLevel="0" collapsed="false">
      <c r="A4" s="3" t="s">
        <v>164</v>
      </c>
      <c r="B4" s="3" t="s">
        <v>165</v>
      </c>
      <c r="C4" s="3" t="s">
        <v>166</v>
      </c>
      <c r="D4" s="3" t="s">
        <v>167</v>
      </c>
      <c r="E4" s="3" t="s">
        <v>168</v>
      </c>
      <c r="F4" s="3" t="s">
        <v>169</v>
      </c>
    </row>
    <row r="5" customFormat="false" ht="85.5" hidden="false" customHeight="true" outlineLevel="0" collapsed="false">
      <c r="A5" s="27" t="s">
        <v>170</v>
      </c>
      <c r="B5" s="28" t="n">
        <v>16</v>
      </c>
      <c r="C5" s="28" t="n">
        <v>20</v>
      </c>
      <c r="D5" s="6" t="n">
        <f aca="false">B5*37250</f>
        <v>596000</v>
      </c>
      <c r="E5" s="6" t="n">
        <f aca="false">C5*37250</f>
        <v>745000</v>
      </c>
      <c r="F5" s="30" t="s">
        <v>171</v>
      </c>
    </row>
    <row r="6" customFormat="false" ht="85.5" hidden="false" customHeight="true" outlineLevel="0" collapsed="false">
      <c r="A6" s="27" t="s">
        <v>172</v>
      </c>
      <c r="B6" s="28" t="n">
        <v>10</v>
      </c>
      <c r="C6" s="28" t="n">
        <v>14</v>
      </c>
      <c r="D6" s="6" t="n">
        <f aca="false">B6*40000</f>
        <v>400000</v>
      </c>
      <c r="E6" s="6" t="n">
        <f aca="false">C6*40000</f>
        <v>560000</v>
      </c>
      <c r="F6" s="30" t="s">
        <v>173</v>
      </c>
    </row>
    <row r="8" customFormat="false" ht="15" hidden="false" customHeight="false" outlineLevel="0" collapsed="false">
      <c r="A8" s="2"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5"/>
    <col collapsed="false" customWidth="true" hidden="false" outlineLevel="0" max="4" min="3" style="0" width="12"/>
    <col collapsed="false" customWidth="true" hidden="false" outlineLevel="0" max="6" min="5" style="0" width="15"/>
    <col collapsed="false" customWidth="true" hidden="false" outlineLevel="0" max="7" min="7" style="0" width="17"/>
  </cols>
  <sheetData>
    <row r="1" customFormat="false" ht="17.35" hidden="false" customHeight="false" outlineLevel="0" collapsed="false">
      <c r="A1" s="1" t="s">
        <v>175</v>
      </c>
    </row>
    <row r="2" customFormat="false" ht="15" hidden="false" customHeight="false" outlineLevel="0" collapsed="false">
      <c r="A2" s="2" t="s">
        <v>176</v>
      </c>
    </row>
    <row r="4" customFormat="false" ht="30" hidden="false" customHeight="true" outlineLevel="0" collapsed="false">
      <c r="A4" s="3" t="s">
        <v>177</v>
      </c>
      <c r="B4" s="3" t="s">
        <v>178</v>
      </c>
      <c r="C4" s="3" t="s">
        <v>179</v>
      </c>
      <c r="D4" s="3" t="s">
        <v>180</v>
      </c>
      <c r="E4" s="3" t="s">
        <v>181</v>
      </c>
      <c r="F4" s="3" t="s">
        <v>50</v>
      </c>
      <c r="G4" s="3" t="s">
        <v>182</v>
      </c>
    </row>
    <row r="5" customFormat="false" ht="15" hidden="false" customHeight="false" outlineLevel="0" collapsed="false">
      <c r="A5" s="4" t="s">
        <v>183</v>
      </c>
      <c r="B5" s="28" t="n">
        <v>18</v>
      </c>
      <c r="C5" s="28" t="n">
        <v>1.01</v>
      </c>
      <c r="D5" s="28" t="n">
        <v>9</v>
      </c>
      <c r="E5" s="5" t="n">
        <f aca="false">B5-C5+D5</f>
        <v>25.99</v>
      </c>
      <c r="F5" s="29" t="n">
        <v>1</v>
      </c>
      <c r="G5" s="6" t="n">
        <f aca="false">E5*(F5*Assumptions!$B$10+(1-F5)*Assumptions!$B$11)</f>
        <v>363860</v>
      </c>
    </row>
    <row r="6" customFormat="false" ht="15" hidden="false" customHeight="false" outlineLevel="0" collapsed="false">
      <c r="A6" s="4" t="s">
        <v>184</v>
      </c>
      <c r="B6" s="28" t="n">
        <v>10</v>
      </c>
      <c r="C6" s="28" t="n">
        <v>1.77</v>
      </c>
      <c r="D6" s="28" t="n">
        <v>9.5</v>
      </c>
      <c r="E6" s="5" t="n">
        <f aca="false">B6-C6+D6</f>
        <v>17.73</v>
      </c>
      <c r="F6" s="29" t="n">
        <v>0.7</v>
      </c>
      <c r="G6" s="6" t="n">
        <f aca="false">E6*(F6*Assumptions!$B$10+(1-F6)*Assumptions!$B$11)</f>
        <v>413109</v>
      </c>
    </row>
    <row r="7" customFormat="false" ht="15" hidden="false" customHeight="false" outlineLevel="0" collapsed="false">
      <c r="A7" s="4" t="s">
        <v>185</v>
      </c>
      <c r="B7" s="28" t="n">
        <v>10</v>
      </c>
      <c r="C7" s="28" t="n">
        <v>1.09</v>
      </c>
      <c r="D7" s="28" t="n">
        <v>6</v>
      </c>
      <c r="E7" s="5" t="n">
        <f aca="false">B7-C7+D7</f>
        <v>14.91</v>
      </c>
      <c r="F7" s="29" t="n">
        <v>0.7</v>
      </c>
      <c r="G7" s="6" t="n">
        <f aca="false">E7*(F7*Assumptions!$B$10+(1-F7)*Assumptions!$B$11)</f>
        <v>347403</v>
      </c>
    </row>
    <row r="8" customFormat="false" ht="15" hidden="false" customHeight="false" outlineLevel="0" collapsed="false">
      <c r="A8" s="4" t="s">
        <v>186</v>
      </c>
      <c r="B8" s="28" t="n">
        <v>12</v>
      </c>
      <c r="C8" s="28" t="n">
        <v>0.27</v>
      </c>
      <c r="D8" s="28" t="n">
        <v>0</v>
      </c>
      <c r="E8" s="5" t="n">
        <f aca="false">B8-C8+D8</f>
        <v>11.73</v>
      </c>
      <c r="F8" s="29" t="n">
        <v>0.55</v>
      </c>
      <c r="G8" s="6" t="n">
        <f aca="false">E8*(F8*Assumptions!$B$10+(1-F8)*Assumptions!$B$11)</f>
        <v>327853.5</v>
      </c>
    </row>
    <row r="9" customFormat="false" ht="15" hidden="false" customHeight="false" outlineLevel="0" collapsed="false">
      <c r="A9" s="4" t="s">
        <v>187</v>
      </c>
      <c r="B9" s="28" t="n">
        <v>15</v>
      </c>
      <c r="C9" s="28" t="n">
        <v>0.4</v>
      </c>
      <c r="D9" s="28" t="n">
        <v>0</v>
      </c>
      <c r="E9" s="5" t="n">
        <f aca="false">B9-C9+D9</f>
        <v>14.6</v>
      </c>
      <c r="F9" s="29" t="n">
        <v>0.55</v>
      </c>
      <c r="G9" s="6" t="n">
        <f aca="false">E9*(F9*Assumptions!$B$10+(1-F9)*Assumptions!$B$11)</f>
        <v>408070</v>
      </c>
    </row>
    <row r="10" customFormat="false" ht="15" hidden="false" customHeight="false" outlineLevel="0" collapsed="false">
      <c r="A10" s="4" t="s">
        <v>188</v>
      </c>
      <c r="B10" s="28" t="n">
        <v>12</v>
      </c>
      <c r="C10" s="28" t="n">
        <v>1.22</v>
      </c>
      <c r="D10" s="28" t="n">
        <v>0</v>
      </c>
      <c r="E10" s="5" t="n">
        <f aca="false">B10-C10+D10</f>
        <v>10.78</v>
      </c>
      <c r="F10" s="29" t="n">
        <v>0.65</v>
      </c>
      <c r="G10" s="6" t="n">
        <f aca="false">E10*(F10*Assumptions!$B$10+(1-F10)*Assumptions!$B$11)</f>
        <v>267883</v>
      </c>
    </row>
    <row r="11" customFormat="false" ht="15" hidden="false" customHeight="false" outlineLevel="0" collapsed="false">
      <c r="A11" s="4" t="s">
        <v>189</v>
      </c>
      <c r="B11" s="28" t="n">
        <v>5</v>
      </c>
      <c r="C11" s="28" t="n">
        <v>0.46</v>
      </c>
      <c r="D11" s="28" t="n">
        <v>0</v>
      </c>
      <c r="E11" s="5" t="n">
        <f aca="false">B11-C11+D11</f>
        <v>4.54</v>
      </c>
      <c r="F11" s="29" t="n">
        <v>0.45</v>
      </c>
      <c r="G11" s="6" t="n">
        <f aca="false">E11*(F11*Assumptions!$B$10+(1-F11)*Assumptions!$B$11)</f>
        <v>140967</v>
      </c>
    </row>
    <row r="12" customFormat="false" ht="15" hidden="false" customHeight="false" outlineLevel="0" collapsed="false">
      <c r="A12" s="4" t="s">
        <v>190</v>
      </c>
      <c r="B12" s="28" t="n">
        <v>14</v>
      </c>
      <c r="C12" s="28" t="n">
        <v>0.51</v>
      </c>
      <c r="D12" s="28" t="n">
        <v>3</v>
      </c>
      <c r="E12" s="5" t="n">
        <f aca="false">B12-C12+D12</f>
        <v>16.49</v>
      </c>
      <c r="F12" s="29" t="n">
        <v>0.95</v>
      </c>
      <c r="G12" s="6" t="n">
        <f aca="false">E12*(F12*Assumptions!$B$10+(1-F12)*Assumptions!$B$11)</f>
        <v>256419.5</v>
      </c>
    </row>
    <row r="13" customFormat="false" ht="15" hidden="false" customHeight="false" outlineLevel="0" collapsed="false">
      <c r="A13" s="4" t="s">
        <v>191</v>
      </c>
      <c r="B13" s="28" t="n">
        <v>10</v>
      </c>
      <c r="C13" s="28" t="n">
        <v>0.49</v>
      </c>
      <c r="D13" s="28" t="n">
        <v>4</v>
      </c>
      <c r="E13" s="5" t="n">
        <f aca="false">B13-C13+D13</f>
        <v>13.51</v>
      </c>
      <c r="F13" s="29" t="n">
        <v>0.9</v>
      </c>
      <c r="G13" s="6" t="n">
        <f aca="false">E13*(F13*Assumptions!$B$10+(1-F13)*Assumptions!$B$11)</f>
        <v>231021</v>
      </c>
    </row>
    <row r="14" customFormat="false" ht="15" hidden="false" customHeight="false" outlineLevel="0" collapsed="false">
      <c r="A14" s="4" t="s">
        <v>192</v>
      </c>
      <c r="B14" s="28" t="n">
        <v>15</v>
      </c>
      <c r="C14" s="28" t="n">
        <v>0</v>
      </c>
      <c r="D14" s="28" t="n">
        <v>0</v>
      </c>
      <c r="E14" s="5" t="n">
        <f aca="false">B14-C14+D14</f>
        <v>15</v>
      </c>
      <c r="F14" s="29" t="n">
        <v>0</v>
      </c>
      <c r="G14" s="6" t="n">
        <f aca="false">E14*(F14*Assumptions!$B$10+(1-F14)*Assumptions!$B$11)</f>
        <v>675000</v>
      </c>
    </row>
    <row r="15" customFormat="false" ht="15" hidden="false" customHeight="false" outlineLevel="0" collapsed="false">
      <c r="A15" s="4" t="s">
        <v>193</v>
      </c>
      <c r="B15" s="28" t="n">
        <v>13</v>
      </c>
      <c r="C15" s="28" t="n">
        <v>2.16</v>
      </c>
      <c r="D15" s="28" t="n">
        <v>4</v>
      </c>
      <c r="E15" s="5" t="n">
        <f aca="false">B15-C15+D15</f>
        <v>14.84</v>
      </c>
      <c r="F15" s="29" t="n">
        <v>0</v>
      </c>
      <c r="G15" s="6" t="n">
        <f aca="false">E15*(F15*Assumptions!$B$10+(1-F15)*Assumptions!$B$11)</f>
        <v>667800</v>
      </c>
    </row>
    <row r="16" customFormat="false" ht="15" hidden="false" customHeight="false" outlineLevel="0" collapsed="false">
      <c r="A16" s="4" t="s">
        <v>194</v>
      </c>
      <c r="B16" s="28" t="n">
        <v>4.3</v>
      </c>
      <c r="C16" s="28" t="n">
        <v>0.67</v>
      </c>
      <c r="D16" s="28" t="n">
        <v>5</v>
      </c>
      <c r="E16" s="5" t="n">
        <f aca="false">B16-C16+D16</f>
        <v>8.63</v>
      </c>
      <c r="F16" s="29" t="n">
        <v>0.85</v>
      </c>
      <c r="G16" s="6" t="n">
        <f aca="false">E16*(F16*Assumptions!$B$10+(1-F16)*Assumptions!$B$11)</f>
        <v>160949.5</v>
      </c>
    </row>
    <row r="17" customFormat="false" ht="15" hidden="false" customHeight="false" outlineLevel="0" collapsed="false">
      <c r="A17" s="4" t="s">
        <v>195</v>
      </c>
      <c r="B17" s="28" t="n">
        <v>4</v>
      </c>
      <c r="C17" s="28" t="n">
        <v>0.47</v>
      </c>
      <c r="D17" s="28" t="n">
        <v>0</v>
      </c>
      <c r="E17" s="5" t="n">
        <f aca="false">B17-C17+D17</f>
        <v>3.53</v>
      </c>
      <c r="F17" s="29" t="n">
        <v>0.1</v>
      </c>
      <c r="G17" s="6" t="n">
        <f aca="false">E17*(F17*Assumptions!$B$10+(1-F17)*Assumptions!$B$11)</f>
        <v>147907</v>
      </c>
    </row>
    <row r="18" customFormat="false" ht="15" hidden="false" customHeight="false" outlineLevel="0" collapsed="false">
      <c r="A18" s="4" t="s">
        <v>196</v>
      </c>
      <c r="B18" s="28" t="n">
        <v>4</v>
      </c>
      <c r="C18" s="28" t="n">
        <v>0.13</v>
      </c>
      <c r="D18" s="28" t="n">
        <v>0</v>
      </c>
      <c r="E18" s="5" t="n">
        <f aca="false">B18-C18+D18</f>
        <v>3.87</v>
      </c>
      <c r="F18" s="29" t="n">
        <v>0</v>
      </c>
      <c r="G18" s="6" t="n">
        <f aca="false">E18*(F18*Assumptions!$B$10+(1-F18)*Assumptions!$B$11)</f>
        <v>174150</v>
      </c>
    </row>
    <row r="19" customFormat="false" ht="15" hidden="false" customHeight="false" outlineLevel="0" collapsed="false">
      <c r="A19" s="4" t="s">
        <v>197</v>
      </c>
      <c r="B19" s="28" t="n">
        <v>2.5</v>
      </c>
      <c r="C19" s="28" t="n">
        <v>0.23</v>
      </c>
      <c r="D19" s="28" t="n">
        <v>0</v>
      </c>
      <c r="E19" s="5" t="n">
        <f aca="false">B19-C19+D19</f>
        <v>2.27</v>
      </c>
      <c r="F19" s="29" t="n">
        <v>0</v>
      </c>
      <c r="G19" s="6" t="n">
        <f aca="false">E19*(F19*Assumptions!$B$10+(1-F19)*Assumptions!$B$11)</f>
        <v>102150</v>
      </c>
    </row>
    <row r="20" customFormat="false" ht="15" hidden="false" customHeight="false" outlineLevel="0" collapsed="false">
      <c r="A20" s="4" t="s">
        <v>198</v>
      </c>
      <c r="B20" s="28" t="n">
        <v>2.5</v>
      </c>
      <c r="C20" s="28" t="n">
        <v>0.45</v>
      </c>
      <c r="D20" s="28" t="n">
        <v>1.5</v>
      </c>
      <c r="E20" s="5" t="n">
        <f aca="false">B20-C20+D20</f>
        <v>3.55</v>
      </c>
      <c r="F20" s="29" t="n">
        <v>0</v>
      </c>
      <c r="G20" s="6" t="n">
        <f aca="false">E20*(F20*Assumptions!$B$10+(1-F20)*Assumptions!$B$11)</f>
        <v>159750</v>
      </c>
    </row>
    <row r="21" customFormat="false" ht="15" hidden="false" customHeight="false" outlineLevel="0" collapsed="false">
      <c r="A21" s="4" t="s">
        <v>199</v>
      </c>
      <c r="B21" s="28" t="n">
        <v>2</v>
      </c>
      <c r="C21" s="28" t="n">
        <v>0</v>
      </c>
      <c r="D21" s="28" t="n">
        <v>0</v>
      </c>
      <c r="E21" s="5" t="n">
        <f aca="false">B21-C21+D21</f>
        <v>2</v>
      </c>
      <c r="F21" s="29" t="n">
        <v>0</v>
      </c>
      <c r="G21" s="6" t="n">
        <f aca="false">E21*(F21*Assumptions!$B$10+(1-F21)*Assumptions!$B$11)</f>
        <v>90000</v>
      </c>
    </row>
    <row r="22" customFormat="false" ht="15" hidden="false" customHeight="false" outlineLevel="0" collapsed="false">
      <c r="A22" s="38" t="s">
        <v>200</v>
      </c>
      <c r="B22" s="28" t="n">
        <v>0</v>
      </c>
      <c r="C22" s="28" t="n">
        <v>0</v>
      </c>
      <c r="D22" s="28" t="n">
        <v>26</v>
      </c>
      <c r="E22" s="5" t="n">
        <f aca="false">B22-C22+D22</f>
        <v>26</v>
      </c>
      <c r="F22" s="29" t="n">
        <v>0.7</v>
      </c>
      <c r="G22" s="6" t="n">
        <f aca="false">E22*(F22*Assumptions!$B$10+(1-F22)*Assumptions!$B$11)</f>
        <v>605800</v>
      </c>
    </row>
    <row r="23" customFormat="false" ht="15" hidden="false" customHeight="false" outlineLevel="0" collapsed="false">
      <c r="A23" s="9" t="s">
        <v>201</v>
      </c>
      <c r="B23" s="10" t="n">
        <f aca="false">SUM(B5:B22)</f>
        <v>153.3</v>
      </c>
      <c r="C23" s="10" t="n">
        <f aca="false">SUM(C5:C22)</f>
        <v>11.33</v>
      </c>
      <c r="D23" s="10" t="n">
        <f aca="false">SUM(D5:D22)</f>
        <v>68</v>
      </c>
      <c r="E23" s="10" t="n">
        <f aca="false">SUM(E5:E22)</f>
        <v>209.97</v>
      </c>
      <c r="F23" s="39" t="n">
        <f aca="false">SUMPRODUCT(E5:E22,F5:F22)/E23</f>
        <v>0.600478639805687</v>
      </c>
      <c r="G23" s="11" t="n">
        <f aca="false">SUM(G5:G22)</f>
        <v>5540092.5</v>
      </c>
    </row>
    <row r="25" customFormat="false" ht="43.5" hidden="false" customHeight="true" outlineLevel="0" collapsed="false">
      <c r="A25" s="16" t="s">
        <v>202</v>
      </c>
      <c r="B25" s="16"/>
      <c r="C25" s="16"/>
      <c r="D25" s="16"/>
      <c r="E25" s="16"/>
      <c r="F25" s="16"/>
      <c r="G25" s="16"/>
    </row>
    <row r="27" customFormat="false" ht="30" hidden="false" customHeight="true" outlineLevel="0" collapsed="false">
      <c r="A27" s="40" t="s">
        <v>203</v>
      </c>
      <c r="B27" s="40"/>
      <c r="C27" s="40"/>
      <c r="D27" s="40"/>
      <c r="E27" s="40"/>
      <c r="F27" s="40"/>
      <c r="G27" s="40"/>
    </row>
  </sheetData>
  <mergeCells count="2">
    <mergeCell ref="A25:G25"/>
    <mergeCell ref="A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14"/>
    <col collapsed="false" customWidth="true" hidden="false" outlineLevel="0" max="4" min="4" style="0" width="76"/>
    <col collapsed="false" customWidth="true" hidden="false" outlineLevel="0" max="5" min="5" style="0" width="26"/>
  </cols>
  <sheetData>
    <row r="1" customFormat="false" ht="17.35" hidden="false" customHeight="false" outlineLevel="0" collapsed="false">
      <c r="A1" s="1" t="s">
        <v>204</v>
      </c>
    </row>
    <row r="2" customFormat="false" ht="15" hidden="false" customHeight="false" outlineLevel="0" collapsed="false">
      <c r="A2" s="2" t="s">
        <v>205</v>
      </c>
    </row>
    <row r="4" customFormat="false" ht="30" hidden="false" customHeight="true" outlineLevel="0" collapsed="false">
      <c r="A4" s="3" t="s">
        <v>206</v>
      </c>
      <c r="B4" s="3" t="s">
        <v>207</v>
      </c>
      <c r="C4" s="3" t="s">
        <v>208</v>
      </c>
      <c r="D4" s="3" t="s">
        <v>209</v>
      </c>
      <c r="E4" s="3" t="s">
        <v>210</v>
      </c>
    </row>
    <row r="5" customFormat="false" ht="75.75" hidden="false" customHeight="true" outlineLevel="0" collapsed="false">
      <c r="A5" s="27" t="n">
        <v>1</v>
      </c>
      <c r="B5" s="41" t="s">
        <v>211</v>
      </c>
      <c r="C5" s="4" t="s">
        <v>212</v>
      </c>
      <c r="D5" s="30" t="s">
        <v>213</v>
      </c>
      <c r="E5" s="30" t="s">
        <v>214</v>
      </c>
    </row>
    <row r="6" customFormat="false" ht="75.75" hidden="false" customHeight="true" outlineLevel="0" collapsed="false">
      <c r="A6" s="27" t="n">
        <v>2</v>
      </c>
      <c r="B6" s="41" t="s">
        <v>215</v>
      </c>
      <c r="C6" s="4" t="s">
        <v>216</v>
      </c>
      <c r="D6" s="30" t="s">
        <v>217</v>
      </c>
      <c r="E6" s="30" t="s">
        <v>218</v>
      </c>
    </row>
    <row r="7" customFormat="false" ht="75.75" hidden="false" customHeight="true" outlineLevel="0" collapsed="false">
      <c r="A7" s="27" t="n">
        <v>3</v>
      </c>
      <c r="B7" s="30" t="s">
        <v>219</v>
      </c>
      <c r="C7" s="4" t="s">
        <v>220</v>
      </c>
      <c r="D7" s="30" t="s">
        <v>221</v>
      </c>
      <c r="E7" s="30" t="s">
        <v>222</v>
      </c>
    </row>
    <row r="8" customFormat="false" ht="75.75" hidden="false" customHeight="true" outlineLevel="0" collapsed="false">
      <c r="A8" s="27" t="n">
        <v>4</v>
      </c>
      <c r="B8" s="30" t="s">
        <v>223</v>
      </c>
      <c r="C8" s="4" t="s">
        <v>224</v>
      </c>
      <c r="D8" s="30" t="s">
        <v>225</v>
      </c>
      <c r="E8" s="30" t="s">
        <v>226</v>
      </c>
    </row>
    <row r="9" customFormat="false" ht="75.75" hidden="false" customHeight="true" outlineLevel="0" collapsed="false">
      <c r="A9" s="27" t="n">
        <v>5</v>
      </c>
      <c r="B9" s="30" t="s">
        <v>227</v>
      </c>
      <c r="C9" s="4" t="s">
        <v>228</v>
      </c>
      <c r="D9" s="30" t="s">
        <v>229</v>
      </c>
      <c r="E9" s="30" t="s">
        <v>230</v>
      </c>
    </row>
    <row r="10" customFormat="false" ht="75.75" hidden="false" customHeight="true" outlineLevel="0" collapsed="false">
      <c r="A10" s="27" t="n">
        <v>6</v>
      </c>
      <c r="B10" s="30" t="s">
        <v>231</v>
      </c>
      <c r="C10" s="4" t="s">
        <v>232</v>
      </c>
      <c r="D10" s="30" t="s">
        <v>233</v>
      </c>
      <c r="E10" s="30" t="s">
        <v>234</v>
      </c>
    </row>
    <row r="11" customFormat="false" ht="75.75" hidden="false" customHeight="true" outlineLevel="0" collapsed="false">
      <c r="A11" s="27" t="n">
        <v>7</v>
      </c>
      <c r="B11" s="30" t="s">
        <v>235</v>
      </c>
      <c r="C11" s="4" t="s">
        <v>236</v>
      </c>
      <c r="D11" s="30" t="s">
        <v>237</v>
      </c>
      <c r="E11" s="30" t="s">
        <v>238</v>
      </c>
    </row>
    <row r="12" customFormat="false" ht="75.75" hidden="false" customHeight="true" outlineLevel="0" collapsed="false">
      <c r="A12" s="27" t="n">
        <v>8</v>
      </c>
      <c r="B12" s="41" t="s">
        <v>239</v>
      </c>
      <c r="C12" s="4" t="s">
        <v>240</v>
      </c>
      <c r="D12" s="30" t="s">
        <v>241</v>
      </c>
      <c r="E12" s="30" t="s">
        <v>242</v>
      </c>
    </row>
    <row r="14" customFormat="false" ht="15" hidden="false" customHeight="false" outlineLevel="0" collapsed="false">
      <c r="A14" s="13" t="s">
        <v>243</v>
      </c>
    </row>
    <row r="15" customFormat="false" ht="15" hidden="false" customHeight="false" outlineLevel="0" collapsed="false">
      <c r="B15" s="19" t="s">
        <v>244</v>
      </c>
    </row>
    <row r="16" customFormat="false" ht="15" hidden="false" customHeight="false" outlineLevel="0" collapsed="false">
      <c r="B16" s="19" t="s">
        <v>245</v>
      </c>
    </row>
    <row r="17" customFormat="false" ht="15" hidden="false" customHeight="false" outlineLevel="0" collapsed="false">
      <c r="B17" s="19" t="s">
        <v>246</v>
      </c>
    </row>
    <row r="18" customFormat="false" ht="15" hidden="false" customHeight="false" outlineLevel="0" collapsed="false">
      <c r="B18" s="19" t="s">
        <v>247</v>
      </c>
    </row>
    <row r="20" customFormat="false" ht="43.5" hidden="false" customHeight="true" outlineLevel="0" collapsed="false">
      <c r="A20" s="17" t="s">
        <v>248</v>
      </c>
      <c r="B20" s="17"/>
      <c r="C20" s="17"/>
      <c r="D20" s="17"/>
      <c r="E20" s="17"/>
    </row>
  </sheetData>
  <mergeCells count="1">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2026-09-15T23:08:57Z</dcterms:created>
  <dc:creator>openpyxl</dc:creator>
  <dc:description/>
  <dc:language>en-US</dc:language>
  <cp:lastModifiedBy/>
  <dcterms:modified xsi:type="dcterms:W3CDTF">2026-09-15T23:08:57Z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