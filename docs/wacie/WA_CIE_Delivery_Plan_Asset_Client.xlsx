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ssumptions" sheetId="1" state="visible" r:id="rId3"/>
    <sheet name="Revision log" sheetId="2" state="visible" r:id="rId4"/>
    <sheet name="Asset vs Client" sheetId="3" state="visible" r:id="rId5"/>
    <sheet name="Release handover" sheetId="4" state="visible" r:id="rId6"/>
    <sheet name="Funding scenarios" sheetId="5" state="visible" r:id="rId7"/>
    <sheet name="Gantt" sheetId="6" state="visible" r:id="rId8"/>
    <sheet name="Staffing" sheetId="7" state="visible" r:id="rId9"/>
    <sheet name="Cost by Scope" sheetId="8" state="visible" r:id="rId10"/>
    <sheet name="CY2027 MVP" sheetId="9" state="visible" r:id="rId11"/>
    <sheet name="Asset plan CY27-31" sheetId="10" state="visible" r:id="rId12"/>
    <sheet name="Asset plan summary" sheetId="11" state="visible" r:id="rId13"/>
    <sheet name="Re-derivation v2" sheetId="12" state="visible" r:id="rId14"/>
    <sheet name="Solution models A vs B" sheetId="13" state="visible" r:id="rId15"/>
    <sheet name="Phase plan" sheetId="14" state="visible" r:id="rId16"/>
    <sheet name="Gate tests" sheetId="15" state="visible" r:id="rId17"/>
    <sheet name="Affordability" sheetId="16" state="visible" r:id="rId18"/>
    <sheet name="Risks" sheetId="17" state="visible"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<sst xmlns="http://schemas.openxmlformats.org/spreadsheetml/2006/main" count="1539" uniqueCount="948">
  <si>
    <t xml:space="preserve">WA CIE — optimized delivery plan</t>
  </si>
  <si>
    <t xml:space="preserve">Joint Connect360 + WPCO response. Every cost on every sheet derives from B7/B8/B9. Blue = input. Yellow = replace before issue.</t>
  </si>
  <si>
    <t xml:space="preserve">LABOUR BASIS</t>
  </si>
  <si>
    <t xml:space="preserve">A1</t>
  </si>
  <si>
    <t xml:space="preserve">US-ONLY DELIVERY</t>
  </si>
  <si>
    <t xml:space="preserve">RFP Sec. 3.6.4: 'All services under the resulting contract, by the Contractor and any Subcontractors at any tier, must be performed within the United States or its territories.' NO OFFSHORE CONTENT IS PERMITTED. The prior estimate's 54.3% offshore blend is void for this bid.</t>
  </si>
  <si>
    <t xml:space="preserve">A2</t>
  </si>
  <si>
    <t xml:space="preserve">US territories allowed</t>
  </si>
  <si>
    <t xml:space="preserve">Puerto Rico and Guam are US territories and are the only legitimate low-cost lever. The mix in A5 assumes a US delivery centre in a lower-cost US location or territory.</t>
  </si>
  <si>
    <t xml:space="preserve">A3</t>
  </si>
  <si>
    <t xml:space="preserve">US delivery centre rate, $/FTE-month. ASSUMPTION - REPLACE WITH RATE CARD. No rate card has been supplied; the prior plan's rates were marked ILLUSTRATIVE.</t>
  </si>
  <si>
    <t xml:space="preserve">A4</t>
  </si>
  <si>
    <t xml:space="preserve">Onshore premium rate, $/FTE-month. From the prior plan's Assumptions tab, also marked ILLUSTRATIVE.</t>
  </si>
  <si>
    <t xml:space="preserve">A5</t>
  </si>
  <si>
    <t xml:space="preserve">Share of effort delivered from the US delivery centre. Key personnel, SMEs, architects and client-facing roles are onshore premium.</t>
  </si>
  <si>
    <t xml:space="preserve">A6</t>
  </si>
  <si>
    <t xml:space="preserve">Blended US rate, $/FTE-month. Computed: A5 x A3 + (1-A5) x A4.</t>
  </si>
  <si>
    <t xml:space="preserve">COMMERCIAL</t>
  </si>
  <si>
    <t xml:space="preserve">A7</t>
  </si>
  <si>
    <t xml:space="preserve">Target gross margin, blended across the five years. CY2027 carries a lower margin because it is the ceiling-constrained year; CY2028-31 carry more.</t>
  </si>
  <si>
    <t xml:space="preserve">A8</t>
  </si>
  <si>
    <t xml:space="preserve">CY2027 non-labour: Connect360 internal chargeback + Azure consumption + third-party assessor fees + travel (travel is inside the firm-fixed price per Sec. 3.6.4 and is not separately payable).</t>
  </si>
  <si>
    <t xml:space="preserve">A9</t>
  </si>
  <si>
    <t xml:space="preserve">CY2028-31 non-labour, per year, same components.</t>
  </si>
  <si>
    <t xml:space="preserve">SCOPE</t>
  </si>
  <si>
    <t xml:space="preserve">A10</t>
  </si>
  <si>
    <t xml:space="preserve">CIE, not payer</t>
  </si>
  <si>
    <t xml:space="preserve">The prior plan was built for a health payer. Zero occurrences of claims adjudication, 837/835, HCC/CDPS, DRG grouping, HEDIS, prior authorisation, CMS-0057-F or payer-to-payer exchange appear anywhere in the RFP, the ConOps or the 212 requirements. X12 appears once, as one of several payload formats an adapter must transform, with 'or equivalent' in the acceptance criterion.</t>
  </si>
  <si>
    <t xml:space="preserve">A11</t>
  </si>
  <si>
    <t xml:space="preserve">Connect360 is pre-existing</t>
  </si>
  <si>
    <t xml:space="preserve">The platform exists before contract signature. Washington pays for configuration, integration, implementation and operations - not for building it. This is both the commercial position and the only posture that keeps the offshore-built platform lawful under A1.</t>
  </si>
  <si>
    <t xml:space="preserve">A12</t>
  </si>
  <si>
    <t xml:space="preserve">Configuration case</t>
  </si>
  <si>
    <t xml:space="preserve">The plan below assumes six gate tests PASS (see Gate tests sheet). If they fail, the CY2027 scope is the construction case and it is $4.3M-$6.3M over the annual ceiling. The tests cost hours and decide $2,205,000.</t>
  </si>
  <si>
    <t xml:space="preserve">A13</t>
  </si>
  <si>
    <t xml:space="preserve">103 of 146 MVP</t>
  </si>
  <si>
    <t xml:space="preserve">103 functional requirements carry a Phase 1 / MVP tag, due 30 June 2027. The largest MVP family is referral management (15). Population-health analytics is named in writing as Phase 2. Client portal and event notification are Phase 3.</t>
  </si>
  <si>
    <t xml:space="preserve">A14</t>
  </si>
  <si>
    <t xml:space="preserve">All 66 NFRs are MVP</t>
  </si>
  <si>
    <t xml:space="preserve">RFP Sec. 3.5.1: the non-functional requirements are all included in the MVP. Security, consent segmentation, access control, audit, accessibility and performance cannot be phased. 99.5% API availability applies from MVP with no ramp.</t>
  </si>
  <si>
    <t xml:space="preserve">CONSTRAINTS TAKEN AS GIVEN</t>
  </si>
  <si>
    <t xml:space="preserve">A15</t>
  </si>
  <si>
    <t xml:space="preserve">Hard annual ceilings</t>
  </si>
  <si>
    <t xml:space="preserve">CY2027 $3.4M, CY2028 $3.4M, CY2029-31 $3.5M each. Exceeding an annual ceiling may be deemed nonresponsive and may not be scored.</t>
  </si>
  <si>
    <t xml:space="preserve">A16</t>
  </si>
  <si>
    <t xml:space="preserve">Two-year term</t>
  </si>
  <si>
    <t xml:space="preserve">Initial term 4 Jan 2027 - 4 Jan 2029. Three one-year renewals at Comagine's sole discretion; the Contractor has no right or expectation of renewal. CY2029-31 revenue is an option, not a commitment.</t>
  </si>
  <si>
    <t xml:space="preserve">A17</t>
  </si>
  <si>
    <t xml:space="preserve">Cost = 300 of 1000 points</t>
  </si>
  <si>
    <t xml:space="preserve">Scored as (lowest evaluated cost / ours) x 300 over the full five-year potential period. Every amortisation dollar is score loss.</t>
  </si>
  <si>
    <t xml:space="preserve">A18</t>
  </si>
  <si>
    <t xml:space="preserve">Certification gates go-live</t>
  </si>
  <si>
    <t xml:space="preserve">Current HITRUST and SOC 2 certifications plus vulnerability scan and penetration test reports are required BEFORE MVP launch and annually. Failure to pass WaTech's Security Design Review permits immediate termination at no cost to the state.</t>
  </si>
  <si>
    <t xml:space="preserve">A19</t>
  </si>
  <si>
    <t xml:space="preserve">Section 701 gates cash</t>
  </si>
  <si>
    <t xml:space="preserve">Milestone gates and budget approvals before future funds release, with withholding of payment as a named remedy. No advance or mobilisation payment provision exists in the RFP.</t>
  </si>
  <si>
    <t xml:space="preserve">A20</t>
  </si>
  <si>
    <t xml:space="preserve">Directory may be carved out</t>
  </si>
  <si>
    <t xml:space="preserve">Sec. 3.1: 'WA CIE is currently in discussions with a statewide directory partner to provide resource directory services.' Gate test G5.</t>
  </si>
  <si>
    <t xml:space="preserve">END-TO-END ASSET PLAN</t>
  </si>
  <si>
    <t xml:space="preserve">A21</t>
  </si>
  <si>
    <t xml:space="preserve">CY2028-31 lines are a construct</t>
  </si>
  <si>
    <t xml:space="preserve">The CY2027 line list is derived from the RFP requirement set. The CY2028-31 capability lines and their asset/client splits are a planning construct built to the year totals already agreed (CY2028 23.0/42.0, CY2029 40.0/26.0, CY2030 27.0/33.0, CY2031 30.0/28.0). They are directionally sound, not requirement-traced - no Phase 2/3 requirement list exists in the RFP.</t>
  </si>
  <si>
    <t xml:space="preserve">A22</t>
  </si>
  <si>
    <t xml:space="preserve">Engines and agents are asset</t>
  </si>
  <si>
    <t xml:space="preserve">Knowledge graph, journey engine, signal dispositioning, whole-person ranking, care plan intelligence, dispatch, the agent runtime and the agents themselves are built once into the product. Washington funds configuration of them, not their construction. If IBM is unwilling to carry that, the split moves and the bid price rises.</t>
  </si>
  <si>
    <t xml:space="preserve">A23</t>
  </si>
  <si>
    <t xml:space="preserve">Gated, not promised</t>
  </si>
  <si>
    <t xml:space="preserve">Nothing in Phase 2 or Phase 3 is built ahead of the renewal that pays for it. Renewals are at Comagine's sole discretion (A16), so the CY2029-31 asset lines are conditional and must not be represented to the client as committed.</t>
  </si>
  <si>
    <t xml:space="preserve">A24</t>
  </si>
  <si>
    <t xml:space="preserve">Agent governance is not optional</t>
  </si>
  <si>
    <t xml:space="preserve">Every agent pattern is delivered with the runtime, guardrails, human-in-the-loop path, action audit and an evaluation harness. 9.0 of the 27.0 agentic FTE-months are governance and assurance rather than agent features.</t>
  </si>
  <si>
    <t xml:space="preserve">A25</t>
  </si>
  <si>
    <t xml:space="preserve">Asset absorbed as base asset</t>
  </si>
  <si>
    <t xml:space="preserve">DECISION (16 Sep 2026): asset development is developed and absorbed from a base-asset perspective - carried on the IBM product P&amp;L in all five years, not charged to Washington and not recovered through this contract beyond the existing platform chargeback in A8/A9. Washington five-year price $9,629,181 against a $17.3M envelope. Requires product investment board approval of $5,562,112, of which $1,997,362 falls inside the committed term.</t>
  </si>
  <si>
    <t xml:space="preserve">A26</t>
  </si>
  <si>
    <t xml:space="preserve">Databricks platform licence</t>
  </si>
  <si>
    <t xml:space="preserve">Stack B assumes $450,000/yr for the Databricks lakehouse (four workspaces, Unity Catalog, multi-AZ, 99.95% SLA), mid-point of a 300k-600k range. NOT SIZED BY ANYONE. Crossover against stack A is about $237,000/yr. Non-labour under stack B is $200k (2027) then $150k for Azure and residual platform, plus the licence.</t>
  </si>
  <si>
    <t xml:space="preserve">A27</t>
  </si>
  <si>
    <t xml:space="preserve">Stack B teaming is unconfirmed</t>
  </si>
  <si>
    <t xml:space="preserve">The Databricks requirement-mapping document (Databricks Genie, undated) names IBM + TogetherNow/MyWayfinder + Databricks and mentions neither Connect360 nor WPCO. Whether this is the agreed teaming or a parallel construction is UNRESOLVED. Stack B is modelled as a decision option, not as the bid.</t>
  </si>
  <si>
    <t xml:space="preserve">Revision log — every line of the payer plan, dispositioned</t>
  </si>
  <si>
    <t xml:space="preserve">KEEP = stays in MVP · MOVE = was scheduled later, now MVP · DEFER = later RFP phase · DELETE = no WA CIE buyer at any phase · ADD = not in the original plan</t>
  </si>
  <si>
    <t xml:space="preserve">Original plan activity</t>
  </si>
  <si>
    <t xml:space="preserve">Wave</t>
  </si>
  <si>
    <t xml:space="preserve">Wks</t>
  </si>
  <si>
    <t xml:space="preserve">Disposition</t>
  </si>
  <si>
    <t xml:space="preserve">New phase</t>
  </si>
  <si>
    <t xml:space="preserve">Reason</t>
  </si>
  <si>
    <t xml:space="preserve">Improve storyboard / demo pills / field collateral by persona</t>
  </si>
  <si>
    <t xml:space="preserve">W0</t>
  </si>
  <si>
    <t xml:space="preserve">MOVE</t>
  </si>
  <si>
    <t xml:space="preserve">Pre-award</t>
  </si>
  <si>
    <t xml:space="preserve">Becomes the 16-20 Nov 2026 demonstration - 350 of 1000 points, scenarios supplied by Comagine. Pre-award investment, not contract scope.</t>
  </si>
  <si>
    <t xml:space="preserve">Integrated data-spine design - canonical model, identity contract, FHIR profile, terminology</t>
  </si>
  <si>
    <t xml:space="preserve">W1</t>
  </si>
  <si>
    <t xml:space="preserve">KEEP</t>
  </si>
  <si>
    <t xml:space="preserve">CY2027</t>
  </si>
  <si>
    <t xml:space="preserve">Re-scoped to CIE: US Core + SDOHCC, no payer canonical claims model.</t>
  </si>
  <si>
    <t xml:space="preserve">Interface contracts + fixtures (Connect360 integration)</t>
  </si>
  <si>
    <t xml:space="preserve">Becomes the owned, versioned participant integration facade.</t>
  </si>
  <si>
    <t xml:space="preserve">Steel thread - ingest, conform, project graph, engines, agent wave, E2E</t>
  </si>
  <si>
    <t xml:space="preserve">Re-pointed at the CIE thread: intake, consent, identity, referral, directory, status.</t>
  </si>
  <si>
    <t xml:space="preserve">Integrate Connect360 EMPI over PIX / PDQ; matching, survivorship, steward workflow</t>
  </si>
  <si>
    <t xml:space="preserve">RED-UNVERIFIED. No $match, no PIX, no PDQ at the gateway; the EMPI rests on a verbal statement. Gate test G6.</t>
  </si>
  <si>
    <t xml:space="preserve">Terminology &amp; value-set load (ICD-10, CPT/HCPCS, LOINC, SNOMED, RxNorm, NDC, CVX, CDT, Gravity)</t>
  </si>
  <si>
    <t xml:space="preserve">REDUCE</t>
  </si>
  <si>
    <t xml:space="preserve">Payer code systems deleted. Retained: LOINC, SNOMED, Gravity/SDOHCC, AIRS taxonomy, referral reason codes.</t>
  </si>
  <si>
    <t xml:space="preserve">Source onboarding &amp; connectivity (SFTP/API/stream, trading partner, feed SLA)</t>
  </si>
  <si>
    <t xml:space="preserve">Becomes the 6-8 partner onboarding factory.</t>
  </si>
  <si>
    <t xml:space="preserve">Multi-format parse &amp; structural validation (X12 834/837/835/270-271/276-277/278, NCPDP, SNIP)</t>
  </si>
  <si>
    <t xml:space="preserve">DELETE</t>
  </si>
  <si>
    <t xml:space="preserve">-</t>
  </si>
  <si>
    <t xml:space="preserve">No claims adjudication anywhere in WA CIE scope. X12 appears once as a transform format with 'or equivalent' permitted.</t>
  </si>
  <si>
    <t xml:space="preserve">Raw land + provenance capture (per-record source attribution)</t>
  </si>
  <si>
    <t xml:space="preserve">IRREVERSIBLE. Provenance cannot be backfilled; RFP D7 requires lineage, stewardship and source-to-target mapping.</t>
  </si>
  <si>
    <t xml:space="preserve">Adapters - build the in-scope source set</t>
  </si>
  <si>
    <t xml:space="preserve">CIE sources: CCH and CBO systems, HMIS, clinical, MCO referral platforms. Not claims feeds.</t>
  </si>
  <si>
    <t xml:space="preserve">Corrections / voids / adjustments / late &amp; out-of-order handling</t>
  </si>
  <si>
    <t xml:space="preserve">Claims-lifecycle concern. No CIE analogue.</t>
  </si>
  <si>
    <t xml:space="preserve">Quarantine / DLQ + operator queues + reconciliation / control totals</t>
  </si>
  <si>
    <t xml:space="preserve">Retained at CIE volume; operator surface folded into the participant portal.</t>
  </si>
  <si>
    <t xml:space="preserve">Coding verification &amp; validation (validity for DOS, referential, business rules)</t>
  </si>
  <si>
    <t xml:space="preserve">Claims coding verification. No CIE buyer.</t>
  </si>
  <si>
    <t xml:space="preserve">Enrichment - grouping (HCC/CDPS+Rx, DRG/APR-DRG, episode) + ontology + SDOH index</t>
  </si>
  <si>
    <t xml:space="preserve">All groupers deleted. The SDOH index survives inside the Phase 2 analytics line.</t>
  </si>
  <si>
    <t xml:space="preserve">Load external quality results (HEDIS / Stars / MIPS) to Measure / MeasureReport</t>
  </si>
  <si>
    <t xml:space="preserve">Quality measurement is a payer function. No Measure resource requirement in WA CIE.</t>
  </si>
  <si>
    <t xml:space="preserve">Consent &amp; sensitivity labeling at conform (42 CFR Part 2, DS4P, minor consent)</t>
  </si>
  <si>
    <t xml:space="preserve">IRREVERSIBLE and the highest-value line in the plan. securityLabel must be written from the first record; relabelling history later is not feasible.</t>
  </si>
  <si>
    <t xml:space="preserve">FHIR conformance &amp; write to Connect360 (profiles, conditional-create, Provenance per write)</t>
  </si>
  <si>
    <t xml:space="preserve">Re-scoped to the CIE resource set.</t>
  </si>
  <si>
    <t xml:space="preserve">Data hosting / reprocessing layer</t>
  </si>
  <si>
    <t xml:space="preserve">Single hosted deployment, not a deployable asset.</t>
  </si>
  <si>
    <t xml:space="preserve">Graph domain model + ~30 domain mappings</t>
  </si>
  <si>
    <t xml:space="preserve">DEFER</t>
  </si>
  <si>
    <t xml:space="preserve">CY2029</t>
  </si>
  <si>
    <t xml:space="preserve">Reduced at MVP to the EDGE SET recorded in the record of truth - a design artifact, not a running store. The graph itself is a projection.</t>
  </si>
  <si>
    <t xml:space="preserve">Projection scaffolding against change-feed contract (emulator-driven)</t>
  </si>
  <si>
    <t xml:space="preserve">Do not build against an emulator and then again against reality. Replaced at MVP by the event-publication contract.</t>
  </si>
  <si>
    <t xml:space="preserve">Dual-backend abstraction + rebuild-from-repository</t>
  </si>
  <si>
    <t xml:space="preserve">Premature generality for one hosted deployment. The rebuild-from-repository PROPERTY is retained as a design rule and proved at Gate 1.</t>
  </si>
  <si>
    <t xml:space="preserve">Identity merge / unmerge propagation (from Connect360 EMPI events)</t>
  </si>
  <si>
    <t xml:space="preserve">IRREVERSIBLE and mis-filed as a graph concern. A destructive merge in a CIE discloses one client's record to another organisation and cannot be remediated.</t>
  </si>
  <si>
    <t xml:space="preserve">Graph population &amp; projection at breadth</t>
  </si>
  <si>
    <t xml:space="preserve">Hydrated by replaying the MVP event log.</t>
  </si>
  <si>
    <t xml:space="preserve">ADF pipelines, Databricks conform, write parity, parity validation</t>
  </si>
  <si>
    <t xml:space="preserve">W1 Sec</t>
  </si>
  <si>
    <t xml:space="preserve">$298,300. A reusable-asset hedge for Databricks-native payer clients. One state, one deployment, SaaS preferred by the RFP.</t>
  </si>
  <si>
    <t xml:space="preserve">Engine hardening design - contracts, off-fixture</t>
  </si>
  <si>
    <t xml:space="preserve">Retained only as the citizenEverything seam design.</t>
  </si>
  <si>
    <t xml:space="preserve">WPC intelligence engine - harden &amp; tune</t>
  </si>
  <si>
    <t xml:space="preserve">Read-path. Deferrable because it is a function of history - provided the history is recorded at MVP.</t>
  </si>
  <si>
    <t xml:space="preserve">Journey engine - harden &amp; tune</t>
  </si>
  <si>
    <t xml:space="preserve">Read-path. The temporal SPINE is recorded at MVP; the engine over it is later.</t>
  </si>
  <si>
    <t xml:space="preserve">Signal disposition engine - harden &amp; tune</t>
  </si>
  <si>
    <t xml:space="preserve">CY2030</t>
  </si>
  <si>
    <t xml:space="preserve">Read-path. The stable event-type vocabulary is fixed at MVP; C360's NotificationRule engine covers MVP dispositioning by configuration.</t>
  </si>
  <si>
    <t xml:space="preserve">Knowledge-graph scoring engine - harden &amp; tune</t>
  </si>
  <si>
    <t xml:space="preserve">Read-path.</t>
  </si>
  <si>
    <t xml:space="preserve">Governed agent runtime - harden initial wave (HITL)</t>
  </si>
  <si>
    <t xml:space="preserve">CY2031</t>
  </si>
  <si>
    <t xml:space="preserve">Two MVP seams only: domain verbs with recorded actor and reason, and a non-human actor representation in AuditEvent.</t>
  </si>
  <si>
    <t xml:space="preserve">Agentic orchestration seed - controller coordinates the initial agent wave</t>
  </si>
  <si>
    <t xml:space="preserve">RFP CC11 and RA09: any function must be completable without AI. Agents cannot be load-bearing for a scored capability.</t>
  </si>
  <si>
    <t xml:space="preserve">Consent policy governance</t>
  </si>
  <si>
    <t xml:space="preserve">SPLIT</t>
  </si>
  <si>
    <t xml:space="preserve">CY2027/28</t>
  </si>
  <si>
    <t xml:space="preserve">Mechanism at MVP; per-purpose, per-organisation and per-category POLICY AUTHORING is the named RFP Phase 2 'more granular consent'.</t>
  </si>
  <si>
    <t xml:space="preserve">Observability &amp; operator surfaces</t>
  </si>
  <si>
    <t xml:space="preserve">Retained at CIE scale.</t>
  </si>
  <si>
    <t xml:space="preserve">Configuration framework - measures, rules, benefit/eligibility, attribution, terminology</t>
  </si>
  <si>
    <t xml:space="preserve">Measures and benefit/eligibility deleted with the payer scope. Retained: rules, eligibility criteria, taxonomies.</t>
  </si>
  <si>
    <t xml:space="preserve">Multi-tenant isolation &amp; tenant onboarding</t>
  </si>
  <si>
    <t xml:space="preserve">RESHAPE</t>
  </si>
  <si>
    <t xml:space="preserve">GROWS. A CIE needs organisation as an authorization boundary with delegated org admin, and NO ROLE OR PERMISSION TYPE EXISTS in the 553 introspected types. IAM is a named MVP capability. Gate test G4.</t>
  </si>
  <si>
    <t xml:space="preserve">Infrastructure-as-code + environment provisioning (Azure)</t>
  </si>
  <si>
    <t xml:space="preserve">One hosted deployment, not a package other teams deploy.</t>
  </si>
  <si>
    <t xml:space="preserve">CI/CD pipelines + release packaging (deployable asset)</t>
  </si>
  <si>
    <t xml:space="preserve">Release pipeline retained; asset packaging deleted.</t>
  </si>
  <si>
    <t xml:space="preserve">Runbooks, install &amp; configuration guides, operator docs</t>
  </si>
  <si>
    <t xml:space="preserve">Becomes the M&amp;O Readiness plan, due in draft at least 90 days before operational acceptance.</t>
  </si>
  <si>
    <t xml:space="preserve">Deployment dry-run / reference install</t>
  </si>
  <si>
    <t xml:space="preserve">Becomes the WaTech Security Design Review and go-live rehearsal.</t>
  </si>
  <si>
    <t xml:space="preserve">Client implementation rows - liaisons, R1 deploy, consent/PHI enablement, EMPI tuning, ATO, glide path</t>
  </si>
  <si>
    <t xml:space="preserve">Client</t>
  </si>
  <si>
    <t xml:space="preserve">THESE ARE NOW THE CONTRACT. The prior plan called them 'off the asset critical path' and excluded them from the totals. Under WA CIE they are the paid work.</t>
  </si>
  <si>
    <t xml:space="preserve">v1 Risk stratification (HCC / CDPS RAF) + rising-risk cohorts</t>
  </si>
  <si>
    <t xml:space="preserve">W2</t>
  </si>
  <si>
    <t xml:space="preserve">Payer risk adjustment.</t>
  </si>
  <si>
    <t xml:space="preserve">v1 Care-gap surfacing on loaded measures + attribution</t>
  </si>
  <si>
    <t xml:space="preserve">Depends on the deleted Measure/HEDIS scope.</t>
  </si>
  <si>
    <t xml:space="preserve">v1 WPCO overview &amp; population dashboards</t>
  </si>
  <si>
    <t xml:space="preserve">CY2028</t>
  </si>
  <si>
    <t xml:space="preserve">RFP names population-level and equity insights as Phase 2 in writing.</t>
  </si>
  <si>
    <t xml:space="preserve">v1 Supporting agents - risk &amp; gap detection</t>
  </si>
  <si>
    <t xml:space="preserve">v2 Social-needs / SDOH index &amp; dashboards + regional / cohort views</t>
  </si>
  <si>
    <t xml:space="preserve">Folded into the Phase 2 population &amp; equity analytics line.</t>
  </si>
  <si>
    <t xml:space="preserve">v2 Population segmentation &amp; funnel</t>
  </si>
  <si>
    <t xml:space="preserve">v3 Total cost of care + outcomes linkage</t>
  </si>
  <si>
    <t xml:space="preserve">Payer financial analytics.</t>
  </si>
  <si>
    <t xml:space="preserve">v3 Executive dashboard + braided funding / shared-savings</t>
  </si>
  <si>
    <t xml:space="preserve">v1 Care-manager worklist + whole-person care plan</t>
  </si>
  <si>
    <t xml:space="preserve">W3</t>
  </si>
  <si>
    <t xml:space="preserve">The WORKLIST is MVP and sits inside the participant portal. The SHARED, MULTI-ORGANISATION CARE PLAN is RFP Phase 2 and needs element-level attribution designed at MVP.</t>
  </si>
  <si>
    <t xml:space="preserve">v1 Panel &amp; cohort + MD SMART launch (EMR-embedded)</t>
  </si>
  <si>
    <t xml:space="preserve">$506,250. EHR-embedded SMART launch is not a WA CIE MVP requirement; MVP partners are CBO and HMIS systems more than EHRs.</t>
  </si>
  <si>
    <t xml:space="preserve">v1 Supporting agents - care management</t>
  </si>
  <si>
    <t xml:space="preserve">v2 Episodes + care team &amp; specialist inbox</t>
  </si>
  <si>
    <t xml:space="preserve">Care team is MVP (inside the portal); episodes are later.</t>
  </si>
  <si>
    <t xml:space="preserve">v2 Universal task routing &amp; inbox</t>
  </si>
  <si>
    <t xml:space="preserve">Cross-organisation referral routing IS the MVP. 15 MVP requirements.</t>
  </si>
  <si>
    <t xml:space="preserve">v3 AI care plan depth + gain-share / shared-savings hooks</t>
  </si>
  <si>
    <t xml:space="preserve">AI care plan deferred to CY2031. Gain-share DELETED - payer scope.</t>
  </si>
  <si>
    <t xml:space="preserve">v3 Cross-team coordination &amp; escalation</t>
  </si>
  <si>
    <t xml:space="preserve">Cross-organisation escalation and SLA is MVP referral behaviour.</t>
  </si>
  <si>
    <t xml:space="preserve">v1 Referral tracking + referral journey tracker (7 stages + audit)</t>
  </si>
  <si>
    <t xml:space="preserve">W4</t>
  </si>
  <si>
    <t xml:space="preserve">THE LARGEST INVERSION. Scheduled at week 34-42 in the payer plan; it is the single largest MVP family in the RFP and must ship by 30 June 2027.</t>
  </si>
  <si>
    <t xml:space="preserve">v1 Care-gap closure &amp; verification - evidence chain</t>
  </si>
  <si>
    <t xml:space="preserve">Retained as referral closure with a provenance evidence chain. Care-GAP closure deleted with the measures scope.</t>
  </si>
  <si>
    <t xml:space="preserve">v2 Social-needs screening (PRAPARE) + program eligibility / benefit enrollment</t>
  </si>
  <si>
    <t xml:space="preserve">MVP. AHC-HRSN already runs live on Connect360, so this is largely configuration. Benefit ENROLMENT deleted.</t>
  </si>
  <si>
    <t xml:space="preserve">v2 CBO directory federated with state CIE (Gravity / 360X), closed-loop</t>
  </si>
  <si>
    <t xml:space="preserve">MVP capability. Subject to gate test G5 - the statewide directory partner may supply the corpus.</t>
  </si>
  <si>
    <t xml:space="preserve">v3 BH &amp; crisis pathway (988 / CSU / Mobile / ED + post-crisis linkage)</t>
  </si>
  <si>
    <t xml:space="preserve">Not in the MVP capability list.</t>
  </si>
  <si>
    <t xml:space="preserve">v3 Risk-adjustment coding gaps (RAF + CDPS) + quality-gap attribution</t>
  </si>
  <si>
    <t xml:space="preserve">Wave 5 - super-orchestration, live dispatch, agentic marketplace, family thread, agent ROI</t>
  </si>
  <si>
    <t xml:space="preserve">W5</t>
  </si>
  <si>
    <t xml:space="preserve">CY2030/31</t>
  </si>
  <si>
    <t xml:space="preserve">Partially fits CY2030-31. The marketplace, family thread and agent ROI reporting DO NOT FIT the five-year envelope at all.</t>
  </si>
  <si>
    <t xml:space="preserve">Engine learning &amp; feedback loop; agent policy tuning</t>
  </si>
  <si>
    <t xml:space="preserve">Improve</t>
  </si>
  <si>
    <t xml:space="preserve">CY2029+</t>
  </si>
  <si>
    <t xml:space="preserve">Requires outcome data that does not exist until after MVP.</t>
  </si>
  <si>
    <t xml:space="preserve">Programme governance &amp; delivery; continuous integration &amp; steel-thread harness</t>
  </si>
  <si>
    <t xml:space="preserve">Cross</t>
  </si>
  <si>
    <t xml:space="preserve">All years</t>
  </si>
  <si>
    <t xml:space="preserve">Becomes the 23 contract deliverables, bi-weekly plan updates, monthly reports and the RAID log.</t>
  </si>
  <si>
    <t xml:space="preserve">CMS-0057-F optional bucket</t>
  </si>
  <si>
    <t xml:space="preserve">Opt</t>
  </si>
  <si>
    <t xml:space="preserve">$545,050. A CIE is not an impacted payer under CMS-0057-F.</t>
  </si>
  <si>
    <t xml:space="preserve">Prior-Auth / Coverage / Financial Clearance optional bucket</t>
  </si>
  <si>
    <t xml:space="preserve">$1,004,750. Payer utilisation management.</t>
  </si>
  <si>
    <t xml:space="preserve">NEW SCOPE — not in the original plan</t>
  </si>
  <si>
    <t xml:space="preserve">Participant portal - worker-facing application</t>
  </si>
  <si>
    <t xml:space="preserve">ADD</t>
  </si>
  <si>
    <t xml:space="preserve">No worker UI exists in Connect360 - only API surface - and the prior staffing model contained NO front-end engineering role at all. RFP Sec. 3.2: the participant portal must be a fully supported participation option for organisations without connected systems. Gate test G3, the largest single swing in the plan.</t>
  </si>
  <si>
    <t xml:space="preserve">RBAC, roles, permissions and delegated organisation administration</t>
  </si>
  <si>
    <t xml:space="preserve">No role or permission type appears in the 553 introspected types. IAM is a named MVP capability area with 10 MVP requirements.</t>
  </si>
  <si>
    <t xml:space="preserve">Owned, versioned participant integration facade</t>
  </si>
  <si>
    <t xml:space="preserve">Do not make another vendor's internal schema the State of Washington's public integration contract. Four of the six utilization models are integration models.</t>
  </si>
  <si>
    <t xml:space="preserve">Domain-verb mutations + statewide reason-code vocabulary</t>
  </si>
  <si>
    <t xml:space="preserve">Task mutations are generic CRUD. Across a federation of independent organisations that guarantees drift and makes the standardised-reason requirement unenforceable. Must land BEFORE the first partner integrates.</t>
  </si>
  <si>
    <t xml:space="preserve">Read-side reporting projection (CQRS)</t>
  </si>
  <si>
    <t xml:space="preserve">The proxy blocks _total=accurate and _summary=count, so no aggregate is answerable from the FHIR path. Reporting &amp; analytics is a named MVP capability and RFP D5 requires documented separation of operational and reporting functions.</t>
  </si>
  <si>
    <t xml:space="preserve">Event publication contract - stable types, idempotency, ordering, 3-5 subscriptions</t>
  </si>
  <si>
    <t xml:space="preserve">THE KEYSTONE. The event log is the only artifact that cannot be reconstructed later. It is what makes the graph, the journey engine and the analytics layer deferrable rather than lost.</t>
  </si>
  <si>
    <t xml:space="preserve">citizenEverything composite resolver</t>
  </si>
  <si>
    <t xml:space="preserve">Nine resolvers fan out N+1 on the most-loaded screen. This one seam is what lets every engine arrive later with no partner-facing change.</t>
  </si>
  <si>
    <t xml:space="preserve">Certification: HITRUST r2, SOC 2 Type II, penetration test, WaTech SDR + PTA</t>
  </si>
  <si>
    <t xml:space="preserve">Contractual pre-condition of MVP launch with an immediate-termination trigger. Sized and EXCLUDED from the prior estimate. Gate test G2.</t>
  </si>
  <si>
    <t xml:space="preserve">Accessibility - 508 / WCAG 2.1 AA, VPAT / ACR production, remediation</t>
  </si>
  <si>
    <t xml:space="preserve">Absent from the entire prior pack. All 66 NFRs are MVP and WaTech accessibility standards are mandatory and non-negotiable.</t>
  </si>
  <si>
    <t xml:space="preserve">Section 1557 language access and translation enablement</t>
  </si>
  <si>
    <t xml:space="preserve">Absent from the prior pack. Named in the RFP's equity and accessibility expectations.</t>
  </si>
  <si>
    <t xml:space="preserve">Tribal and IHS data sovereignty handling and governance</t>
  </si>
  <si>
    <t xml:space="preserve">RESTORED. Withdrawn from the prior estimate as 'geography-specific'. The RFP requires compliance with applicable federal, state, TRIBAL and program requirements. Washington has 29 federally recognised tribes.</t>
  </si>
  <si>
    <t xml:space="preserve">Directory federation adapter + content-loading toolkit</t>
  </si>
  <si>
    <t xml:space="preserve">RESTORED in changed form. Withdrawn from the prior estimate as 'per-deployment content'; the resource directory is a named MVP capability. Gate test G5.</t>
  </si>
  <si>
    <t xml:space="preserve">R6</t>
  </si>
  <si>
    <t xml:space="preserve">End-to-end asset plan CY2027-2031</t>
  </si>
  <si>
    <t xml:space="preserve">Added line-level asset/client split for CY2028-31 (Phase 2 engines, Phase 3 intelligence, agentic orchestration) tying to the agreed year totals; nine asset releases v1.0-v5.1; asset effort by source family. Assumptions A21-A24 added.</t>
  </si>
  <si>
    <t xml:space="preserve">R7</t>
  </si>
  <si>
    <t xml:space="preserve">Base-asset absorption adopted as the funding position</t>
  </si>
  <si>
    <t xml:space="preserve">Scenarios re-cast: A base position (full absorption, WA $9.63M), B fallback (100/100/50/50/50, WA $11.61M), C floor (committed years only, WA $13.59M), plus the boundary case that fails CY2027. Slides 06, 06a, 06h and ASK repriced to the base position. Assumption A25 added.</t>
  </si>
  <si>
    <t xml:space="preserve">R8</t>
  </si>
  <si>
    <t xml:space="preserve">Side-by-side re-cast to the adopted position</t>
  </si>
  <si>
    <t xml:space="preserve">The S1/S2/S3 comparison block was stale: it presented three options with S3 as one of them, after A25 had already adopted full absorption. Replaced with A / B / C / boundary, price advantage measured against the $15.81M fully-loaded bid, and the 50% block explicitly labelled a sensitivity rather than a middle case.</t>
  </si>
  <si>
    <t xml:space="preserve">R9</t>
  </si>
  <si>
    <t xml:space="preserve">Re-derivation against Connect360 owner corrections and the WPCO codebase</t>
  </si>
  <si>
    <t xml:space="preserve">Asset 151.35 -&gt; 119.35 FTE-months (-32.00). IBM investment $5,562,112 -&gt; $4,386,112 (-$1,176,000, 21%). Client column and Washington price unchanged at $9,629,181. 24 lines moved from build to integrate/extend, each with a stated reason; G1-G6 replaced by demonstration proofs P1-P8. Conditional on those proofs.</t>
  </si>
  <si>
    <t xml:space="preserve">R10</t>
  </si>
  <si>
    <t xml:space="preserve">Solution-model comparison added</t>
  </si>
  <si>
    <t xml:space="preserve">Stack B (TogetherNow + Databricks base, WPCO decision plane) modelled line by line against stack A. Asset 119.35 -&gt; 105.80 (IBM saves $497,962); client 169.15 -&gt; 181.85; Washington five-year price $9,629,181 -&gt; $10,814,431 (+$1,185,250) at an assumed $450k/yr platform licence. Crossover at ~$237k/yr. Assumptions A26-A27 added.</t>
  </si>
  <si>
    <t xml:space="preserve">CY2027 — every FTE-month, split between asset development and client delivery</t>
  </si>
  <si>
    <t xml:space="preserve">ASSET = reusable platform capability that any deployment would need, and that IBM owns after this contract. CLIENT = Washington's deployment, configuration, integration, and the overhead that exists only because there is a contract. The RELEASE column is the asset release that must land before the client work can start.</t>
  </si>
  <si>
    <t xml:space="preserve">Tier</t>
  </si>
  <si>
    <t xml:space="preserve">Line</t>
  </si>
  <si>
    <t xml:space="preserve">ASSET FTE-mo</t>
  </si>
  <si>
    <t xml:space="preserve">CLIENT FTE-mo</t>
  </si>
  <si>
    <t xml:space="preserve">Asset cost</t>
  </si>
  <si>
    <t xml:space="preserve">Client cost</t>
  </si>
  <si>
    <t xml:space="preserve">Release</t>
  </si>
  <si>
    <t xml:space="preserve">What is asset / what is client</t>
  </si>
  <si>
    <t xml:space="preserve">T1</t>
  </si>
  <si>
    <t xml:space="preserve">Identity — stable CIE ID, non-destructive merge/unmerge, link history, stewardship queue</t>
  </si>
  <si>
    <t xml:space="preserve">R1</t>
  </si>
  <si>
    <t xml:space="preserve">Platform capability, every deployment needs it / WA org hierarchy and identifier policy</t>
  </si>
  <si>
    <t xml:space="preserve">Consent — full R4 provision model, enforcement at the data layer, revoke-not-delete</t>
  </si>
  <si>
    <t xml:space="preserve">The provision model and enforcement engine / Washington's consent policy content and Part 2 posture</t>
  </si>
  <si>
    <t xml:space="preserve">Provenance per write, cross-org read audit, retention &amp; legal hold</t>
  </si>
  <si>
    <t xml:space="preserve">Provenance and audit machinery / WA retention and legal-hold rules</t>
  </si>
  <si>
    <t xml:space="preserve">RBAC, roles, permissions &amp; delegated organisation administration</t>
  </si>
  <si>
    <t xml:space="preserve">The role and permission model / Washington's organisation and role taxonomy</t>
  </si>
  <si>
    <t xml:space="preserve">Event log — stable type vocabulary, idempotency, ordering, subscriptions</t>
  </si>
  <si>
    <t xml:space="preserve">Event infrastructure and contract / which events WA subscribes to</t>
  </si>
  <si>
    <t xml:space="preserve">T2</t>
  </si>
  <si>
    <t xml:space="preserve">Owned, versioned integration façade (US Core + SDOHCC)</t>
  </si>
  <si>
    <t xml:space="preserve">R2</t>
  </si>
  <si>
    <t xml:space="preserve">The façade, versioned and owned by IBM / WA profile constraints</t>
  </si>
  <si>
    <t xml:space="preserve">The verb set and state machine / Washington's statewide reason-code vocabulary</t>
  </si>
  <si>
    <t xml:space="preserve">T3</t>
  </si>
  <si>
    <t xml:space="preserve">Participant portal — worker roles</t>
  </si>
  <si>
    <t xml:space="preserve">R3</t>
  </si>
  <si>
    <t xml:space="preserve">Worker application, reusable across deployments / WA role configuration and branding</t>
  </si>
  <si>
    <t xml:space="preserve">Read-side reporting projection + operational counts</t>
  </si>
  <si>
    <t xml:space="preserve">Projection engine and pattern / WA's specific counts and extract format</t>
  </si>
  <si>
    <t xml:space="preserve">Conform &amp; write — source-system adapters</t>
  </si>
  <si>
    <t xml:space="preserve">Adapter framework / adapters for Washington's named source systems</t>
  </si>
  <si>
    <t xml:space="preserve">The resolver / WA-specific assembly rules</t>
  </si>
  <si>
    <t xml:space="preserve">Directory federation adapter</t>
  </si>
  <si>
    <t xml:space="preserve">Federation adapter framework / the Washington directory partner connection</t>
  </si>
  <si>
    <t xml:space="preserve">Referral management workflow</t>
  </si>
  <si>
    <t xml:space="preserve">Workflow engine / WA referral pathways and routing rules</t>
  </si>
  <si>
    <t xml:space="preserve">HRSN screening</t>
  </si>
  <si>
    <t xml:space="preserve">Instrument framework / WA screening configuration</t>
  </si>
  <si>
    <t xml:space="preserve">T4</t>
  </si>
  <si>
    <t xml:space="preserve">Accessibility — 508 / WCAG 2.1 AA, VPAT / ACR</t>
  </si>
  <si>
    <t xml:space="preserve">GA</t>
  </si>
  <si>
    <t xml:space="preserve">Product conformance and the published VPAT / WA acceptance testing</t>
  </si>
  <si>
    <t xml:space="preserve">Tribal &amp; IHS data sovereignty handling</t>
  </si>
  <si>
    <t xml:space="preserve">Sovereignty handling capability / Washington's 29-tribe governance model</t>
  </si>
  <si>
    <t xml:space="preserve">CERT</t>
  </si>
  <si>
    <t xml:space="preserve">HITRUST r2 + SOC 2 Type II evidence and penetration test</t>
  </si>
  <si>
    <t xml:space="preserve">Certifies the platform. IBM holds these and carries them to every future deployment.</t>
  </si>
  <si>
    <t xml:space="preserve">WaTech Security Design Review + Privacy Threshold Analysis</t>
  </si>
  <si>
    <t xml:space="preserve">—</t>
  </si>
  <si>
    <t xml:space="preserve">Washington-specific review. Not transferable.</t>
  </si>
  <si>
    <t xml:space="preserve">ONB</t>
  </si>
  <si>
    <t xml:space="preserve">Partner integration &amp; onboarding factory (6–8 partners)</t>
  </si>
  <si>
    <t xml:space="preserve">Entirely Washington's partners.</t>
  </si>
  <si>
    <t xml:space="preserve">PM</t>
  </si>
  <si>
    <t xml:space="preserve">Programme management, 23 deliverables, RAID, governance</t>
  </si>
  <si>
    <t xml:space="preserve">Exists only because there is a contract.</t>
  </si>
  <si>
    <t xml:space="preserve">OPS</t>
  </si>
  <si>
    <t xml:space="preserve">Operations &amp; tier-2/3 support</t>
  </si>
  <si>
    <t xml:space="preserve">Runs Washington's deployment.</t>
  </si>
  <si>
    <t xml:space="preserve">CY2027 TOTAL</t>
  </si>
  <si>
    <t xml:space="preserve">Share of CY2027</t>
  </si>
  <si>
    <t xml:space="preserve">FIVE-YEAR SPLIT</t>
  </si>
  <si>
    <t xml:space="preserve">CY</t>
  </si>
  <si>
    <t xml:space="preserve">Non-labour</t>
  </si>
  <si>
    <t xml:space="preserve">Client delivered cost</t>
  </si>
  <si>
    <t xml:space="preserve">TOTAL</t>
  </si>
  <si>
    <t xml:space="preserve">THE LINE THAT KEEPS THIS DEFENSIBLE: what Washington funds is Washington's deployment; what IBM funds is the platform. Say it out loud in the proposal rather than leaving it implicit.</t>
  </si>
  <si>
    <t xml:space="preserve">The asset column is IBM's investment decision, not Washington's cost. See the Funding scenarios sheet for what each posture does to the bid price and to the IBM P&amp;L.</t>
  </si>
  <si>
    <t xml:space="preserve">Splits are judgement, applied line by line, and every one is stated in the right-hand column. They are the first thing to challenge.</t>
  </si>
  <si>
    <t xml:space="preserve">Asset release → client handover ladder, CY2027</t>
  </si>
  <si>
    <t xml:space="preserve">The asset is developed, released and handed to delivery in stages. Client work cannot start on a stream until its asset release exists — that dependency is what fixes the week numbers on the Gantt.</t>
  </si>
  <si>
    <t xml:space="preserve">Week</t>
  </si>
  <si>
    <t xml:space="preserve">What the asset release contains</t>
  </si>
  <si>
    <t xml:space="preserve">Asset FTE-mo to that point</t>
  </si>
  <si>
    <t xml:space="preserve">What it hands to delivery</t>
  </si>
  <si>
    <t xml:space="preserve">Client work it unblocks</t>
  </si>
  <si>
    <t xml:space="preserve">wk 8</t>
  </si>
  <si>
    <t xml:space="preserve">Identity, consent, provenance &amp; audit, RBAC, event log</t>
  </si>
  <si>
    <t xml:space="preserve">Delivery may begin WA consent policy, organisation hierarchy and retention configuration</t>
  </si>
  <si>
    <t xml:space="preserve">WA consent policy authoring, organisation hierarchy, identifier policy, retention and legal-hold rules</t>
  </si>
  <si>
    <t xml:space="preserve">wk 14</t>
  </si>
  <si>
    <t xml:space="preserve">Integration façade + domain verbs and the reason-code vocabulary</t>
  </si>
  <si>
    <t xml:space="preserve">Delivery may begin partner onboarding — nothing connects before this release</t>
  </si>
  <si>
    <t xml:space="preserve">Partner onboarding may begin. Nothing connects before this release — and once it has, the surface cannot change.</t>
  </si>
  <si>
    <t xml:space="preserve">wk 20</t>
  </si>
  <si>
    <t xml:space="preserve">Worker portal, read-side projection, citizenEverything, directory adapter</t>
  </si>
  <si>
    <t xml:space="preserve">Delivery completes WA configuration, loads the corpus and runs UAT</t>
  </si>
  <si>
    <t xml:space="preserve">WA configuration completion, directory corpus load, referral pathway setup, UAT</t>
  </si>
  <si>
    <t xml:space="preserve">wk 24</t>
  </si>
  <si>
    <t xml:space="preserve">HITRUST / SOC 2 evidence, accessibility conformance and VPAT</t>
  </si>
  <si>
    <t xml:space="preserve">Delivery submits the WaTech Security Design Review and Privacy Threshold Analysis</t>
  </si>
  <si>
    <t xml:space="preserve">WaTech Security Design Review and Privacy Threshold Analysis submission</t>
  </si>
  <si>
    <t xml:space="preserve">GO</t>
  </si>
  <si>
    <t xml:space="preserve">wk 26</t>
  </si>
  <si>
    <t xml:space="preserve">MVP GO-LIVE · 6–8 partners in production</t>
  </si>
  <si>
    <t xml:space="preserve">Production cutover, 6–8 partners live, tier-2/3 support begins</t>
  </si>
  <si>
    <t xml:space="preserve">WHY THE WEEK NUMBERS ARE WHAT THEY ARE</t>
  </si>
  <si>
    <t xml:space="preserve">R2 at week 14 is the binding one. The integration façade and the domain verbs are an asset release, and the moment 6–8 independent organisations hold production integrations against them, they cannot be changed. Partner onboarding therefore cannot start before week 14, and it must finish by week 26 — which is why onboarding is compressed into twelve weeks and is the line most often under-estimated.</t>
  </si>
  <si>
    <t xml:space="preserve">GA at week 24 is the certification release. The WaTech Security Design Review gates every byte of HCA data and cannot be submitted against a build that is still moving. Two weeks of float to go-live is thin; it is the schedule risk to watch.</t>
  </si>
  <si>
    <t xml:space="preserve">Peak concurrency is about 13 people in weeks 6–13, when the write path, the contract surfaces, the MVP product, compliance, certification and programme management all run together. Roughly $1.4M of the CY2027 cost is out the door by week 14, against acceptance milestones worth far less — that is the working-capital exposure, not a scope problem.</t>
  </si>
  <si>
    <t xml:space="preserve">Mobilisation is its own risk: thirteen US-located people, including named Key Personnel with hard minimum qualifications, staffed within five weeks of a 4 January contract signature.</t>
  </si>
  <si>
    <t xml:space="preserve">Funding position — the asset is developed and absorbed as base asset</t>
  </si>
  <si>
    <t xml:space="preserve">Base position A: IBM carries all 151.35 asset FTE-months on the product P&amp;L. Washington is charged only for its own deployment. B and C are fallbacks if the product investment board will not carry the renewal years. The blocks below keep their original S-labels for traceability to earlier versions.</t>
  </si>
  <si>
    <t xml:space="preserve">Scenario</t>
  </si>
  <si>
    <t xml:space="preserve">IBM investment</t>
  </si>
  <si>
    <t xml:space="preserve">WA price</t>
  </si>
  <si>
    <t xml:space="preserve">Annual ceiling</t>
  </si>
  <si>
    <t xml:space="preserve">Headroom</t>
  </si>
  <si>
    <t xml:space="preserve">Fits</t>
  </si>
  <si>
    <t xml:space="preserve">C (was S1) — FLOOR: IBM funds the asset in the committed years only; Washington funds asset work in CY2029-31</t>
  </si>
  <si>
    <t xml:space="preserve">yes</t>
  </si>
  <si>
    <t xml:space="preserve">Five-year total</t>
  </si>
  <si>
    <t xml:space="preserve">SENSITIVITY (was S2) — 50% every year. NOTE: puts LESS IBM investment into the committed years than the base position, so it is not a middle case</t>
  </si>
  <si>
    <t xml:space="preserve">A (was S3) — BASE POSITION: asset development absorbed into the base asset in every year</t>
  </si>
  <si>
    <t xml:space="preserve">SIDE BY SIDE — the adopted position and its fallbacks</t>
  </si>
  <si>
    <t xml:space="preserve">A — BASE POSITION
absorbed, all years</t>
  </si>
  <si>
    <t xml:space="preserve">B — fallback
half absorbed CY2029-31</t>
  </si>
  <si>
    <t xml:space="preserve">C — floor
committed years only</t>
  </si>
  <si>
    <t xml:space="preserve">Boundary — no absorption</t>
  </si>
  <si>
    <t xml:space="preserve">IBM product investment, five years</t>
  </si>
  <si>
    <t xml:space="preserve">Washington five-year price</t>
  </si>
  <si>
    <t xml:space="preserve">Price advantage vs the fully-loaded bid</t>
  </si>
  <si>
    <t xml:space="preserve">CY2027 price</t>
  </si>
  <si>
    <t xml:space="preserve">Clears every annual ceiling</t>
  </si>
  <si>
    <t xml:space="preserve">NO — CY2027 over by $108,472</t>
  </si>
  <si>
    <t xml:space="preserve">Asset work charged to Washington</t>
  </si>
  <si>
    <t xml:space="preserve">none</t>
  </si>
  <si>
    <t xml:space="preserve">half of CY2029-31</t>
  </si>
  <si>
    <t xml:space="preserve">all of CY2029-31</t>
  </si>
  <si>
    <t xml:space="preserve">all, every year</t>
  </si>
  <si>
    <t xml:space="preserve">Where the investment is recovered</t>
  </si>
  <si>
    <t xml:space="preserve">future deployments of the product</t>
  </si>
  <si>
    <t xml:space="preserve">part renewals, part product</t>
  </si>
  <si>
    <t xml:space="preserve">renewals, or a second deal</t>
  </si>
  <si>
    <t xml:space="preserve">not applicable</t>
  </si>
  <si>
    <t xml:space="preserve">Procurement-integrity exposure</t>
  </si>
  <si>
    <t xml:space="preserve">low</t>
  </si>
  <si>
    <t xml:space="preserve">live in CY2029-31</t>
  </si>
  <si>
    <t xml:space="preserve">bid may be deemed nonresponsive</t>
  </si>
  <si>
    <t xml:space="preserve">Spent and unrecovered if no renewal is exercised</t>
  </si>
  <si>
    <t xml:space="preserve">A is the adopted position (assumption A25, 16 Sep 2026): the asset is developed and absorbed as base asset in every year, and Washington is charged for its own deployment only. Every other block on this tab is a fallback or a proof, not an option under active consideration.</t>
  </si>
  <si>
    <t xml:space="preserve">B and C exist only if the product investment board will not carry the renewal years. Both still clear every annual ceiling; both weaken the cost score, and both put asset construction on the state's money in years Comagine may never fund.</t>
  </si>
  <si>
    <t xml:space="preserve">The boundary case is the argument, not an alternative. Charging all asset development to Washington breaches the CY2027 ceiling by $108,472 and prices the bid at $15.81M, so some absorption is required for the bid to be responsive at all.</t>
  </si>
  <si>
    <t xml:space="preserve">Cost is 300 of 1000 points, scored as (lowest evaluated cost / ours) x 300 across the full five-year period. Price advantage above is measured against the $15,809,306 fully-loaded bid.</t>
  </si>
  <si>
    <t xml:space="preserve">The 50%-every-year block retained further down this tab is a SENSITIVITY, not a middle case: it puts less IBM investment into the committed years than either A or B, so it does not sit between them on any axis that matters.</t>
  </si>
  <si>
    <t xml:space="preserve">BOUNDARY CASE — Washington funds everything, no absorption. FAILS CY2027 by $108,472 and prices at $15.81M</t>
  </si>
  <si>
    <t xml:space="preserve">Read this way: A is the recommended position and the one every other slide now quotes. B and C exist only as fallbacks. The boundary case is the proof that some absorption is mandatory — without it the CY2027 price breaches the annual ceiling and the bid may be deemed nonresponsive.</t>
  </si>
  <si>
    <t xml:space="preserve">WA CIE — Work Breakdown (Gantt), CY2027 MVP</t>
  </si>
  <si>
    <t xml:space="preserve">Contract start 4 Jan 2027 = week 1. MVP go-live 30 June 2027 = week 26. Weeks axis. Tier 1 and Tier 2 must COMPLETE before partner onboarding begins — once 6-8 organisations hold production integrations against a surface it cannot be taken away. The certification lane runs from week 1 because HITRUST r2 is not a 25-week path.</t>
  </si>
  <si>
    <t xml:space="preserve">Activity</t>
  </si>
  <si>
    <t xml:space="preserve">FTE-mo</t>
  </si>
  <si>
    <t xml:space="preserve">ASSET</t>
  </si>
  <si>
    <t xml:space="preserve">CLIENT</t>
  </si>
  <si>
    <t xml:space="preserve">REL</t>
  </si>
  <si>
    <t xml:space="preserve">Identity — stable CIE ID, source-ID retention, non-destructive merge/unmerge, link history, stewardship queue</t>
  </si>
  <si>
    <t xml:space="preserve">Consent — provision shape, enforcement verification, revoke-not-delete, securityLabel on write</t>
  </si>
  <si>
    <t xml:space="preserve">Provenance per write, cross-org read audit, retention &amp; legal hold, non-human actor</t>
  </si>
  <si>
    <t xml:space="preserve">RBAC &amp; delegated organisation administration</t>
  </si>
  <si>
    <t xml:space="preserve">Event log — stable type vocabulary, idempotency, ordering, 3-5 subscriptions exposed</t>
  </si>
  <si>
    <t xml:space="preserve">Owned versioned integration facade (US Core + SDOHCC)</t>
  </si>
  <si>
    <t xml:space="preserve">MILESTONE — contract surfaces frozen; partner onboarding may begin</t>
  </si>
  <si>
    <t xml:space="preserve">◆</t>
  </si>
  <si>
    <t xml:space="preserve">Conform &amp; write — CIE source set (profiles, conditional-create, Provenance)</t>
  </si>
  <si>
    <t xml:space="preserve">citizenEverything composite resolver (tenant-scoped, consent-filtered)</t>
  </si>
  <si>
    <t xml:space="preserve">Read-side reporting projection + operational counts + participant extract</t>
  </si>
  <si>
    <t xml:space="preserve">Participant portal — extend the existing Connect360 portal to worker roles</t>
  </si>
  <si>
    <t xml:space="preserve">Directory federation adapter (statewide partner supplies the corpus)</t>
  </si>
  <si>
    <t xml:space="preserve">Referral management configuration &amp; cross-organisation workflow</t>
  </si>
  <si>
    <t xml:space="preserve">HRSN screening configuration (AHC-HRSN already live)</t>
  </si>
  <si>
    <t xml:space="preserve">Accessibility — 508 / WCAG 2.1 AA, VPAT / ACR, remediation</t>
  </si>
  <si>
    <t xml:space="preserve">Tribal &amp; IHS data sovereignty handling and governance</t>
  </si>
  <si>
    <t xml:space="preserve">Certification — HITRUST / SOC 2 evidence, penetration test, WaTech SDR + PTA</t>
  </si>
  <si>
    <t xml:space="preserve">NB</t>
  </si>
  <si>
    <t xml:space="preserve">MILESTONE — WaTech Security Design Review passed (gates all HCA data)</t>
  </si>
  <si>
    <t xml:space="preserve">Partner integration &amp; onboarding factory (6-8 interoperability partners)</t>
  </si>
  <si>
    <t xml:space="preserve">Programme management, governance, 23 deliverables, RAID, reporting cadence</t>
  </si>
  <si>
    <t xml:space="preserve">MILESTONE — MVP GO-LIVE (30 June 2027)</t>
  </si>
  <si>
    <t xml:space="preserve">Operations &amp; tier-2/3 support (Comagine owns tier 1)</t>
  </si>
  <si>
    <t xml:space="preserve">MILESTONE — end of MVP implementation period (go-live + 60 days)</t>
  </si>
  <si>
    <t xml:space="preserve">LEGEND</t>
  </si>
  <si>
    <t xml:space="preserve">T1  Irreversible — the write path.  T2  Contract surfaces.  T3  MVP product.  T4  Compliance engineering.  NB  Non-build (certification, onboarding, PM, operations).</t>
  </si>
  <si>
    <t xml:space="preserve">Weeks 27-34 continue into H2 2027; CY2028-31 activity is on the Phase plan sheet.</t>
  </si>
  <si>
    <t xml:space="preserve">DELETED from the prior payer plan and therefore absent here: claims / X12 / NCPDP spine, corrections and voids, coding verification, HCC/CDPS and DRG groupers, HEDIS load, total cost of care, gain-share, CMS-0057-F, prior authorisation, Epic/Cerner SMART launch, the ADF / Databricks secondary path, and the deployable-asset packaging. See the Revision log sheet for the full disposition of every original line.</t>
  </si>
  <si>
    <t xml:space="preserve">WA CIE — Staffing by Role, CY2027</t>
  </si>
  <si>
    <t xml:space="preserve">US-ONLY delivery (RFP Sec. 3.6.4). Key Personnel named in RFP Table 4 are onshore premium and carry hard minimum qualifications. Costs are shown at the blended rate from Assumptions because no role-level rate card has been supplied; the Location column states the intended mix.</t>
  </si>
  <si>
    <t xml:space="preserve">Role</t>
  </si>
  <si>
    <t xml:space="preserve">Key Personnel (RFP Table 4)</t>
  </si>
  <si>
    <t xml:space="preserve">Delivery location</t>
  </si>
  <si>
    <t xml:space="preserve">FTE-months</t>
  </si>
  <si>
    <t xml:space="preserve">Cost at blended rate</t>
  </si>
  <si>
    <t xml:space="preserve">Notes</t>
  </si>
  <si>
    <t xml:space="preserve">Builds asset or delivers client?</t>
  </si>
  <si>
    <t xml:space="preserve">Engagement / programme lead</t>
  </si>
  <si>
    <t xml:space="preserve">Program Manager</t>
  </si>
  <si>
    <t xml:space="preserve">Onshore premium</t>
  </si>
  <si>
    <t xml:space="preserve">3 yrs in last 5 leading a comparable health or human-services program team</t>
  </si>
  <si>
    <t xml:space="preserve">Client — contract overhead</t>
  </si>
  <si>
    <t xml:space="preserve">Delivery / project manager</t>
  </si>
  <si>
    <t xml:space="preserve">Project Manager</t>
  </si>
  <si>
    <t xml:space="preserve">3 yrs in last 5 managing comparable delivery with iterative experience</t>
  </si>
  <si>
    <t xml:space="preserve">Product manager</t>
  </si>
  <si>
    <t xml:space="preserve">Product Manager</t>
  </si>
  <si>
    <t xml:space="preserve">5 yrs owning product direction for a configurable or SaaS solution</t>
  </si>
  <si>
    <t xml:space="preserve">Both — asset backlog and the WA release</t>
  </si>
  <si>
    <t xml:space="preserve">Solution architect / technical lead</t>
  </si>
  <si>
    <t xml:space="preserve">Technical Lead / Architect</t>
  </si>
  <si>
    <t xml:space="preserve">7 yrs interoperable solution architecture; FHIR, HL7 or Gravity; WaTech conformance</t>
  </si>
  <si>
    <t xml:space="preserve">Both — asset architecture, WA solution</t>
  </si>
  <si>
    <t xml:space="preserve">Multi-sector interoperability SME</t>
  </si>
  <si>
    <t xml:space="preserve">Multi-Sector Interop SME</t>
  </si>
  <si>
    <t xml:space="preserve">5 yrs cross-sector exchange; bidirectional partner connections and interface governance</t>
  </si>
  <si>
    <t xml:space="preserve">Client — WA partner integration</t>
  </si>
  <si>
    <t xml:space="preserve">Data architect / identity lead</t>
  </si>
  <si>
    <t xml:space="preserve">Data Architect / Data Eng Lead</t>
  </si>
  <si>
    <t xml:space="preserve">5 yrs PII/PHI at scale; identity resolution, record linkage, consent-specific access</t>
  </si>
  <si>
    <t xml:space="preserve">Both — identity capability, WA matching</t>
  </si>
  <si>
    <t xml:space="preserve">Security &amp; compliance lead</t>
  </si>
  <si>
    <t xml:space="preserve">Certification lane, WaTech SDR, Privacy Threshold Analysis, annual recertification</t>
  </si>
  <si>
    <t xml:space="preserve">Both — HITRUST/SOC 2 asset, WaTech SDR client</t>
  </si>
  <si>
    <t xml:space="preserve">Social-care / CIE domain SME</t>
  </si>
  <si>
    <t xml:space="preserve">HRSN screening, referral practice, CBO and CCH workflow</t>
  </si>
  <si>
    <t xml:space="preserve">Both</t>
  </si>
  <si>
    <t xml:space="preserve">Accessibility specialist</t>
  </si>
  <si>
    <t xml:space="preserve">508 / WCAG 2.1 AA conformance, VPAT / ACR production</t>
  </si>
  <si>
    <t xml:space="preserve">Asset — product conformance and VPAT</t>
  </si>
  <si>
    <t xml:space="preserve">Tribal liaison / policy SME</t>
  </si>
  <si>
    <t xml:space="preserve">Tribal and IHS data sovereignty; 29 federally recognised tribes in Washington</t>
  </si>
  <si>
    <t xml:space="preserve">Client — WA tribal governance</t>
  </si>
  <si>
    <t xml:space="preserve">FHIR / conform engineer</t>
  </si>
  <si>
    <t xml:space="preserve">US delivery centre</t>
  </si>
  <si>
    <t xml:space="preserve">Profiles, conditional-create, provenance, domain verbs, integration facade</t>
  </si>
  <si>
    <t xml:space="preserve">Both — façade and verbs asset, adapters client</t>
  </si>
  <si>
    <t xml:space="preserve">Data / integration engineer</t>
  </si>
  <si>
    <t xml:space="preserve">Source connectivity, conform pipeline, read-side projection, partner onboarding</t>
  </si>
  <si>
    <t xml:space="preserve">Both — projection asset, WA sources client</t>
  </si>
  <si>
    <t xml:space="preserve">Front-end / application engineer</t>
  </si>
  <si>
    <t xml:space="preserve">NEW ROLE — the prior staffing model contained no front-end engineering role at all</t>
  </si>
  <si>
    <t xml:space="preserve">Asset — the worker application</t>
  </si>
  <si>
    <t xml:space="preserve">QA / test engineer</t>
  </si>
  <si>
    <t xml:space="preserve">Functional, regression, accessibility and partner integration testing</t>
  </si>
  <si>
    <t xml:space="preserve">Platform / DevSecOps engineer</t>
  </si>
  <si>
    <t xml:space="preserve">Environments, CI/CD, observability, release</t>
  </si>
  <si>
    <t xml:space="preserve">UX / product designer</t>
  </si>
  <si>
    <t xml:space="preserve">Worker-facing portal, consent capture, referral workflow</t>
  </si>
  <si>
    <t xml:space="preserve">Asset — product design</t>
  </si>
  <si>
    <t xml:space="preserve">Test / conformance &amp; DQ engineer</t>
  </si>
  <si>
    <t xml:space="preserve">Profile binding verification, consent enforcement matrix, data-quality rules</t>
  </si>
  <si>
    <t xml:space="preserve">Delivery-location mix check</t>
  </si>
  <si>
    <t xml:space="preserve">Derived from the role plan. Compare with assumption A5 on the Assumptions sheet; a variance of more than two points means the role plan and the rate assumption disagree.</t>
  </si>
  <si>
    <t xml:space="preserve">NO OFFSHORE CONTENT. RFP Sec. 3.6.4: all services, by the Contractor and any Subcontractors at any tier, must be performed within the United States or its territories. Work performed outside the US without prior written approval is a material breach and may result in termination.</t>
  </si>
  <si>
    <t xml:space="preserve">Puerto Rico and Guam are US territories and are the only legitimate low-cost lever. The US delivery centre rate is an ASSUMPTION pending the rate card.</t>
  </si>
  <si>
    <t xml:space="preserve">Every individual proposed as Key Personnel needs a resume submitted with Submittal Form B and must meet the stated minimum qualifications.</t>
  </si>
  <si>
    <t xml:space="preserve">WA CIE — Effort &amp; Cost by Scope</t>
  </si>
  <si>
    <t xml:space="preserve">One rate basis, US-only. CY2027 reconciles to the CY2027 MVP sheet and to Staffing. CY2028-31 are scoped to each year's ceiling. Renewal years are options at Comagine's sole discretion, not commitments.</t>
  </si>
  <si>
    <t xml:space="preserve">Scope</t>
  </si>
  <si>
    <t xml:space="preserve">Labour cost</t>
  </si>
  <si>
    <t xml:space="preserve">Delivered cost</t>
  </si>
  <si>
    <t xml:space="preserve">Price at target margin</t>
  </si>
  <si>
    <t xml:space="preserve">IBM-funded asset $</t>
  </si>
  <si>
    <t xml:space="preserve">Washington client $</t>
  </si>
  <si>
    <t xml:space="preserve">CY2027 — MVP to 30 June 2027 (committed term)</t>
  </si>
  <si>
    <t xml:space="preserve">CY2028 — Phase 2 (committed term)</t>
  </si>
  <si>
    <t xml:space="preserve">CY2029 — Phase 3 (renewal option 1)</t>
  </si>
  <si>
    <t xml:space="preserve">CY2030 — Phase 3 continued (renewal option 2)</t>
  </si>
  <si>
    <t xml:space="preserve">CY2031 — maturation (renewal option 3)</t>
  </si>
  <si>
    <t xml:space="preserve">COMMITTED TERM (CY2027-28)</t>
  </si>
  <si>
    <t xml:space="preserve">FULL POTENTIAL PERIOD (CY2027-31) — the Evaluated Cost basis</t>
  </si>
  <si>
    <t xml:space="preserve">Headroom against the five-year envelope</t>
  </si>
  <si>
    <t xml:space="preserve">CY2027 headroom against its own ceiling</t>
  </si>
  <si>
    <t xml:space="preserve">EXCLUDED FROM THE ABOVE</t>
  </si>
  <si>
    <t xml:space="preserve">Client-facing portal  [RFP Phase 3]</t>
  </si>
  <si>
    <t xml:space="preserve">Agentic marketplace &amp; orchestration at scale</t>
  </si>
  <si>
    <t xml:space="preserve">Household / family thread &amp; caregiver intelligence</t>
  </si>
  <si>
    <t xml:space="preserve">Agent impact &amp; agentic ROI reporting</t>
  </si>
  <si>
    <t xml:space="preserve">Does not fit the five-year envelope at all</t>
  </si>
  <si>
    <t xml:space="preserve">DELETED — no WA CIE buyer at any phase. Named value $2,354,350: Prior-Auth / Coverage / Financial Clearance $1,004,750 · CMS-0057-F $545,050 · Epic / Cerner SMART launch + CDS Hooks $506,250 · ADF / Databricks secondary path $298,300. Plus the claims / X12 / NCPDP spine, HCC/CDPS and DRG groupers, HEDIS load, total cost of care and gain-share, and the deployable-asset packaging.</t>
  </si>
  <si>
    <t xml:space="preserve">Evaluated Cost is defined twice in RFP Sec. 5.7 — three components in one version, four in the other, with Year-1 recurring counted both on its own and inside the five-year total. Submit a written clarification before 9 October; it is free and it moves the cost score.</t>
  </si>
  <si>
    <t xml:space="preserve">Exceeding an applicable annual funding ceiling may be deemed nonresponsive and may not be scored.</t>
  </si>
  <si>
    <t xml:space="preserve">CY2027 — MVP to 30 June 2027 · CONFIGURATION CASE</t>
  </si>
  <si>
    <t xml:space="preserve">Assumes all six gate tests pass. If they fail this becomes the construction case at 184.5 FTE-months — $4.3M to $6.3M over the annual ceiling.</t>
  </si>
  <si>
    <t xml:space="preserve">Workstream</t>
  </si>
  <si>
    <t xml:space="preserve">Cost</t>
  </si>
  <si>
    <t xml:space="preserve">Note</t>
  </si>
  <si>
    <t xml:space="preserve">TIER 1 — IRREVERSIBLE. Cannot be retrofitted; these are the write path.</t>
  </si>
  <si>
    <t xml:space="preserve">A capability is safely deferrable if and only if it can be reconstructed from what MVP wrote down. Everything here is write-path: a fact not captured cannot be recovered later. This tier is what makes the graph, the engines and the agents deferrable rather than lost.</t>
  </si>
  <si>
    <t xml:space="preserve">   Identity: configure matching, stewardship queue, NON-DESTRUCTIVE merge/unmerge with link history</t>
  </si>
  <si>
    <t xml:space="preserve">   Consent: policy configuration, enforcement verification, revoke-not-delete fix, securityLabel on write</t>
  </si>
  <si>
    <t xml:space="preserve">   Provenance per write, cross-org read audit, retention &amp; legal hold, non-human actor representation</t>
  </si>
  <si>
    <t xml:space="preserve">   RBAC &amp; delegated organisation administration</t>
  </si>
  <si>
    <t xml:space="preserve">   Event log: stable type vocabulary, idempotency contract, ordering, 3-5 subscriptions exposed</t>
  </si>
  <si>
    <t xml:space="preserve">TIER 2 — CONTRACT SURFACES. Must land before the first partner integrates.</t>
  </si>
  <si>
    <t xml:space="preserve">Once 6-8 independent organisations hold production integrations against a surface, it cannot be taken away. These are politically irreversible, not technically.</t>
  </si>
  <si>
    <t xml:space="preserve">   Owned, versioned integration facade (FHIR REST profiled to US Core + SDOHCC)</t>
  </si>
  <si>
    <t xml:space="preserve">   Domain-verb mutations for Task / ServiceRequest + statewide reason-code vocabulary</t>
  </si>
  <si>
    <t xml:space="preserve">TIER 3 — THE MVP PRODUCT. 103 of 146 functional requirements, due 30 June 2027.</t>
  </si>
  <si>
    <t xml:space="preserve">Referral management is the largest MVP family at 15 requirements — the line the payer plan scheduled at week 34-42.</t>
  </si>
  <si>
    <t xml:space="preserve">   Participant portal — EXTEND the existing Connect360 portal to worker roles</t>
  </si>
  <si>
    <t xml:space="preserve">   Read-side reporting projection + 6-10 operational counts + participant extract</t>
  </si>
  <si>
    <t xml:space="preserve">   Conform &amp; write — CIE source set (profiles, conditional-create, Provenance)</t>
  </si>
  <si>
    <t xml:space="preserve">   citizenEverything composite resolver (tenant-scoped, consent-filtered)</t>
  </si>
  <si>
    <t xml:space="preserve">   Directory federation adapter (statewide partner supplies the corpus)</t>
  </si>
  <si>
    <t xml:space="preserve">   Referral management configuration &amp; cross-organisation workflow</t>
  </si>
  <si>
    <t xml:space="preserve">   HRSN screening configuration (AHC-HRSN already live on Connect360)</t>
  </si>
  <si>
    <t xml:space="preserve">TIER 4 — COMPLIANCE ENGINEERING. Absent from the prior plan entirely.</t>
  </si>
  <si>
    <t xml:space="preserve">All 66 non-functional requirements are MVP. WaTech standards are mandatory and non-negotiable.</t>
  </si>
  <si>
    <t xml:space="preserve">   Accessibility: 508 / WCAG 2.1 AA conformance, VPAT / ACR production, remediation</t>
  </si>
  <si>
    <t xml:space="preserve">   Tribal &amp; IHS data sovereignty handling and governance</t>
  </si>
  <si>
    <t xml:space="preserve">NON-BUILD — the work that is actually paid for under this contract.</t>
  </si>
  <si>
    <t xml:space="preserve">The prior plan called these rows 'off the asset critical path' and excluded them from the totals. Under WA CIE they ARE the contract.</t>
  </si>
  <si>
    <t xml:space="preserve">   Certification: evidence assembly, penetration test, WaTech SDR + Privacy Threshold Analysis</t>
  </si>
  <si>
    <t xml:space="preserve">   Partner integration &amp; onboarding factory (6-8 interoperability partners)</t>
  </si>
  <si>
    <t xml:space="preserve">   Programme management, governance participation, 23 deliverables, RAID, reporting cadence</t>
  </si>
  <si>
    <t xml:space="preserve">   Operations &amp; tier-2/3 support (~5 months of CY2027; Comagine owns tier 1)</t>
  </si>
  <si>
    <t xml:space="preserve">Sequencing rule: Tier 1 and Tier 2 start week 1 and must complete before partner onboarding begins. Tier 3 follows. The certification lane runs in parallel from week 1 — HITRUST r2 is not a 25-week path, which is why gate test G2 decides whether this plan is deliverable at all.</t>
  </si>
  <si>
    <t xml:space="preserve">End-to-end asset plan, CY2027-2031</t>
  </si>
  <si>
    <t xml:space="preserve">Every line split: ASSET = built once into the product and reused by the next deployment. CLIENT = Washington deployment, configuration, onboarding, operations and overhead. CY2027 lines are the audited MVP list; CY2028-31 lines are the planning construct documented at A21-A24.</t>
  </si>
  <si>
    <t xml:space="preserve">Capability</t>
  </si>
  <si>
    <t xml:space="preserve">Source family</t>
  </si>
  <si>
    <t xml:space="preserve">Asset FTE-mo</t>
  </si>
  <si>
    <t xml:space="preserve">Client FTE-mo</t>
  </si>
  <si>
    <t xml:space="preserve">Total FTE-mo</t>
  </si>
  <si>
    <t xml:space="preserve">Asset $</t>
  </si>
  <si>
    <t xml:space="preserve">Client $</t>
  </si>
  <si>
    <t xml:space="preserve">Connect360</t>
  </si>
  <si>
    <t xml:space="preserve">Connect360 + WPCO</t>
  </si>
  <si>
    <t xml:space="preserve">Platform</t>
  </si>
  <si>
    <t xml:space="preserve">v2.0</t>
  </si>
  <si>
    <t xml:space="preserve">Shared care plan — cross-organisation plan, goals, tasks, ownership, consent-aware sharing</t>
  </si>
  <si>
    <t xml:space="preserve">WPCO engine</t>
  </si>
  <si>
    <t xml:space="preserve">Granular consent — element level, purpose-of-use, proxy and guardian delegation</t>
  </si>
  <si>
    <t xml:space="preserve">v2.1</t>
  </si>
  <si>
    <t xml:space="preserve">Population and equity analytics — cohort model, disparity measures, governed data marts</t>
  </si>
  <si>
    <t xml:space="preserve">Care team and household relationship model</t>
  </si>
  <si>
    <t xml:space="preserve">Outcome measures and closed-loop reporting</t>
  </si>
  <si>
    <t xml:space="preserve">Release engineering — upgrade, regression and multi-tenant deployment tooling</t>
  </si>
  <si>
    <t xml:space="preserve">Washington deployment and configuration of Phase 2</t>
  </si>
  <si>
    <t xml:space="preserve">Partner onboarding wave 2</t>
  </si>
  <si>
    <t xml:space="preserve">Corpus and data expansion</t>
  </si>
  <si>
    <t xml:space="preserve">Annual recertification — HITRUST surveillance, SOC 2, penetration test</t>
  </si>
  <si>
    <t xml:space="preserve">Operations and tier-2/3 support</t>
  </si>
  <si>
    <t xml:space="preserve">Programme management and governance</t>
  </si>
  <si>
    <t xml:space="preserve">Training and change management</t>
  </si>
  <si>
    <t xml:space="preserve">v3.0</t>
  </si>
  <si>
    <t xml:space="preserve">Knowledge graph — person, organisation, service, event entities and graph query</t>
  </si>
  <si>
    <t xml:space="preserve">Journey engine — stage model, milestones, timers, per-person state machine</t>
  </si>
  <si>
    <t xml:space="preserve">Event notification — subscriptions, routing, delivery guarantees (ADT and social events)</t>
  </si>
  <si>
    <t xml:space="preserve">v3.1</t>
  </si>
  <si>
    <t xml:space="preserve">Signal dispositioning — signal ingest, triage rules, routing to an accountable owner</t>
  </si>
  <si>
    <t xml:space="preserve">Whole-person ranking — need scoring with an explainable rationale</t>
  </si>
  <si>
    <t xml:space="preserve">Agent runtime and governance scaffold — tool registry, policy guardrails, human-in-the-loop, agent action audit</t>
  </si>
  <si>
    <t xml:space="preserve">Agentic</t>
  </si>
  <si>
    <t xml:space="preserve">Washington configuration — graph mappings, journey stages, ranking thresholds</t>
  </si>
  <si>
    <t xml:space="preserve">Notification subscriber onboarding — hospitals, HIE, health plans</t>
  </si>
  <si>
    <t xml:space="preserve">Partner onboarding wave 3</t>
  </si>
  <si>
    <t xml:space="preserve">v4.0</t>
  </si>
  <si>
    <t xml:space="preserve">Real-time dispatch and capacity matching — availability, hold, confirm, fallback</t>
  </si>
  <si>
    <t xml:space="preserve">Governed agents — intake triage, referral follow-up and benefit navigation patterns</t>
  </si>
  <si>
    <t xml:space="preserve">v4.1</t>
  </si>
  <si>
    <t xml:space="preserve">Care plan intelligence — explainable next-best-action against the plan</t>
  </si>
  <si>
    <t xml:space="preserve">Agent evaluation harness, drift monitoring and red-team suite</t>
  </si>
  <si>
    <t xml:space="preserve">Washington agent policy, human-in-the-loop workflow design and staff training</t>
  </si>
  <si>
    <t xml:space="preserve">Capacity-provider onboarding for dispatch</t>
  </si>
  <si>
    <t xml:space="preserve">Analytics and reporting expansion</t>
  </si>
  <si>
    <t xml:space="preserve">Recertification and security reviews</t>
  </si>
  <si>
    <t xml:space="preserve">v5.0</t>
  </si>
  <si>
    <t xml:space="preserve">Agent orchestration across journeys — supervisor pattern, escalation, hand-off between agents</t>
  </si>
  <si>
    <t xml:space="preserve">Impact measurement engine — attribution, cohort outcomes, programme effectiveness</t>
  </si>
  <si>
    <t xml:space="preserve">v5.1</t>
  </si>
  <si>
    <t xml:space="preserve">Configuration studio — rules, forms and journeys changed without code</t>
  </si>
  <si>
    <t xml:space="preserve">Interoperability expansion — TEFCA / QHIN alignment, bulk FHIR, further profiles</t>
  </si>
  <si>
    <t xml:space="preserve">Multi-deployment hardening and upgrade automation</t>
  </si>
  <si>
    <t xml:space="preserve">Washington configuration migration into the studio</t>
  </si>
  <si>
    <t xml:space="preserve">TEFCA / QHIN participation for Washington</t>
  </si>
  <si>
    <t xml:space="preserve">Onboarding wave 4</t>
  </si>
  <si>
    <t xml:space="preserve">Asset plan summary</t>
  </si>
  <si>
    <t xml:space="preserve">Phase</t>
  </si>
  <si>
    <t xml:space="preserve">Total</t>
  </si>
  <si>
    <t xml:space="preserve">Asset share</t>
  </si>
  <si>
    <t xml:space="preserve">Phase 1 - MVP</t>
  </si>
  <si>
    <t xml:space="preserve">Phase 2 - care coordination</t>
  </si>
  <si>
    <t xml:space="preserve">Phase 3a - intelligence</t>
  </si>
  <si>
    <t xml:space="preserve">Phase 3b - agentic</t>
  </si>
  <si>
    <t xml:space="preserve">Phase 3c - orchestration</t>
  </si>
  <si>
    <t xml:space="preserve">FIVE-YEAR TOTAL</t>
  </si>
  <si>
    <t xml:space="preserve">ASSET EFFORT BY SOURCE FAMILY</t>
  </si>
  <si>
    <t xml:space="preserve">Share</t>
  </si>
  <si>
    <t xml:space="preserve">TOTAL ASSET</t>
  </si>
  <si>
    <t xml:space="preserve">Re-derivation against evidence — 17 Sep 2026</t>
  </si>
  <si>
    <t xml:space="preserve">Trigger: the product owner corrected the Connect360 position (consent enforcement, HITRUST certification, worker UI, RBAC, own directory, PIX/PDQ matching, referral incl. non-clinical, NAS event handling), and the RHTP/WPCO codebase was read for the first time. Evidence moves a line from BUILD to INTEGRATE/EXTEND; it never moves a line to zero and never touches the CLIENT column. Conditional on demonstration proofs P1-P8. Class-4.</t>
  </si>
  <si>
    <t xml:space="preserve">Asset before</t>
  </si>
  <si>
    <t xml:space="preserve">Asset after</t>
  </si>
  <si>
    <t xml:space="preserve">Delta</t>
  </si>
  <si>
    <t xml:space="preserve">Reason for the change</t>
  </si>
  <si>
    <t xml:space="preserve">Identity — CIE ID, merge/unmerge, link history, stewardship</t>
  </si>
  <si>
    <t xml:space="preserve">C360 PIX/PDQ is the production matching source (P6); WPCO integrates and keeps stewardship</t>
  </si>
  <si>
    <t xml:space="preserve">Consent — provision model, enforcement, revoke-not-delete</t>
  </si>
  <si>
    <t xml:space="preserve">C360 enforces at the platform (P1); WPCO consumes the decision and carries WA policy config</t>
  </si>
  <si>
    <t xml:space="preserve">Provenance, cross-org read audit, retention, legal hold</t>
  </si>
  <si>
    <t xml:space="preserve">unchanged — cross-organisation audit spans both products, ours to build</t>
  </si>
  <si>
    <t xml:space="preserve">RBAC, roles, permissions, delegated org admin</t>
  </si>
  <si>
    <t xml:space="preserve">C360 RBAC controls exist (P4); WPCO maps roles and covers CBO delegated admin</t>
  </si>
  <si>
    <t xml:space="preserve">Event log — types, idempotency, ordering, subscriptions</t>
  </si>
  <si>
    <t xml:space="preserve">C360 event handling on NAS (P8); WPCO still owns ordering, idempotency and replay</t>
  </si>
  <si>
    <t xml:space="preserve">Owned, versioned integration facade (US Core + SDOHCC)</t>
  </si>
  <si>
    <t xml:space="preserve">unchanged — the facade is ours to own and freeze whatever sits behind it</t>
  </si>
  <si>
    <t xml:space="preserve">Domain-verb mutations + statewide reason codes</t>
  </si>
  <si>
    <t xml:space="preserve">unchanged — the verb set and vocabulary are the contract, not a platform feature</t>
  </si>
  <si>
    <t xml:space="preserve">Participant portal extended to worker roles</t>
  </si>
  <si>
    <t xml:space="preserve">C360 worker UI exists and needs extension (P3); WPCO screens exist at demo grade</t>
  </si>
  <si>
    <t xml:space="preserve">Read-side projection + operational counts</t>
  </si>
  <si>
    <t xml:space="preserve">unchanged — the projection is WPCO's graph, fail-closed today</t>
  </si>
  <si>
    <t xml:space="preserve">unchanged</t>
  </si>
  <si>
    <t xml:space="preserve">C360 provides its own directory (P5); WPCO federates to the statewide source</t>
  </si>
  <si>
    <t xml:space="preserve">C360 supports referral incl. non-clinical (P7); WPCO tracks and closes the loop</t>
  </si>
  <si>
    <t xml:space="preserve">Accessibility — 508 / WCAG 2.1 AA, VPAT</t>
  </si>
  <si>
    <t xml:space="preserve">unchanged — our screens still need conformance and a VPAT</t>
  </si>
  <si>
    <t xml:space="preserve">Tribal &amp; IHS data sovereignty</t>
  </si>
  <si>
    <t xml:space="preserve">HITRUST r2 + SOC 2 evidence + penetration test</t>
  </si>
  <si>
    <t xml:space="preserve">C360 holds HITRUST (P2); residual is SOC 2 scope for the joint solution and the pen test</t>
  </si>
  <si>
    <t xml:space="preserve">WaTech SDR + Privacy Threshold Analysis</t>
  </si>
  <si>
    <t xml:space="preserve">client</t>
  </si>
  <si>
    <t xml:space="preserve">Partner onboarding factory (6-8 partners)</t>
  </si>
  <si>
    <t xml:space="preserve">Programme management, 23 deliverables, RAID</t>
  </si>
  <si>
    <t xml:space="preserve">Shared care plan — cross-org plan, goals, tasks</t>
  </si>
  <si>
    <t xml:space="preserve">carePlan 2,188 + careTeam 1,916 LOC exist at demo grade; server-side generation de-scoped by owner</t>
  </si>
  <si>
    <t xml:space="preserve">Granular consent — element level, purpose-of-use, proxy</t>
  </si>
  <si>
    <t xml:space="preserve">unchanged — register F2 says Part-2 segmentation is a blunt drop on a wrong basis</t>
  </si>
  <si>
    <t xml:space="preserve">careTeam 1,916 LOC + household-view route exist</t>
  </si>
  <si>
    <t xml:space="preserve">Population and equity analytics</t>
  </si>
  <si>
    <t xml:space="preserve">panel-cohort-view, region-view, stars-hedis-mips routes exist at demo grade</t>
  </si>
  <si>
    <t xml:space="preserve">outcomes-linkage route exists; measures lib is thin (254 LOC)</t>
  </si>
  <si>
    <t xml:space="preserve">Release engineering — upgrade, regression, multi-tenant</t>
  </si>
  <si>
    <t xml:space="preserve">ci-gates.sh, E13/E14 ratchets, size ratchet and seam governance already exist</t>
  </si>
  <si>
    <t xml:space="preserve">Annual recertification</t>
  </si>
  <si>
    <t xml:space="preserve">Knowledge graph — entities, graph query</t>
  </si>
  <si>
    <t xml:space="preserve">graph 4,780 + wpcGraph 3,064 LOC, 101 tests, projector/replay/lens/Cypher; harden and wire to live pg</t>
  </si>
  <si>
    <t xml:space="preserve">Journey engine — stages, milestones, timers</t>
  </si>
  <si>
    <t xml:space="preserve">journeyContext, storySteps, lifecycle 1,012 LOC; only 7 tests — partial</t>
  </si>
  <si>
    <t xml:space="preserve">Event notification — subscriptions, routing, delivery</t>
  </si>
  <si>
    <t xml:space="preserve">outbox 959 + deadLetter 1,190 LOC; C360 NAS is the upstream event source (P8)</t>
  </si>
  <si>
    <t xml:space="preserve">Signal dispositioning — triage, routing to owner</t>
  </si>
  <si>
    <t xml:space="preserve">sde 1,775 LOC with consentGate, taxonomy, policy, touchpoint; 27 tests; mock-only seam</t>
  </si>
  <si>
    <t xml:space="preserve">Whole-person ranking — explainable need scoring</t>
  </si>
  <si>
    <t xml:space="preserve">wpc 786 LOC + attention/memberSignals; 3 tests — thin</t>
  </si>
  <si>
    <t xml:space="preserve">Agent runtime and governance scaffold</t>
  </si>
  <si>
    <t xml:space="preserve">agentRuntime real-impl 1,354 LOC + governance 517 LOC (decisionGate, provenance, fairness, interlock)</t>
  </si>
  <si>
    <t xml:space="preserve">Washington configuration — mappings, stages, thresholds</t>
  </si>
  <si>
    <t xml:space="preserve">Notification subscriber onboarding</t>
  </si>
  <si>
    <t xml:space="preserve">Real-time dispatch and capacity matching</t>
  </si>
  <si>
    <t xml:space="preserve">agents/dispatch is a 378-LOC skeleton with routing data — little credit earned</t>
  </si>
  <si>
    <t xml:space="preserve">Governed agents — intake triage, referral, benefit nav</t>
  </si>
  <si>
    <t xml:space="preserve">2 HITL manifests already registered with tool allowlists and escalation refs; pattern proven</t>
  </si>
  <si>
    <t xml:space="preserve">Care plan intelligence — explainable next-best-action</t>
  </si>
  <si>
    <t xml:space="preserve">carePlan 2,188 LOC exists; WPC-CD1 server-side generation de-scoped by owner directive</t>
  </si>
  <si>
    <t xml:space="preserve">Agent evaluation harness, drift, red-team suite</t>
  </si>
  <si>
    <t xml:space="preserve">unchanged — FAKE_FIDELITY.md is a fidelity note, not an eval harness</t>
  </si>
  <si>
    <t xml:space="preserve">Washington agent policy, HITL workflow, training</t>
  </si>
  <si>
    <t xml:space="preserve">Agent orchestration across journeys</t>
  </si>
  <si>
    <t xml:space="preserve">unchanged — no multi-agent supervisor or hand-off pattern in the repo</t>
  </si>
  <si>
    <t xml:space="preserve">Impact measurement — attribution, cohort outcomes</t>
  </si>
  <si>
    <t xml:space="preserve">measures 254 + gainShare 669 LOC; thin but not nothing</t>
  </si>
  <si>
    <t xml:space="preserve">Configuration studio — rules, forms, journeys without code</t>
  </si>
  <si>
    <t xml:space="preserve">policy 26,639 LOC across 95 files is already policy-as-data with 117 tests</t>
  </si>
  <si>
    <t xml:space="preserve">Interoperability expansion — TEFCA / QHIN, bulk FHIR</t>
  </si>
  <si>
    <t xml:space="preserve">unchanged — deploy 439 + substrate 465 LOC is thin</t>
  </si>
  <si>
    <t xml:space="preserve">IBM investment — before</t>
  </si>
  <si>
    <t xml:space="preserve">IBM investment — after</t>
  </si>
  <si>
    <t xml:space="preserve">Reduction</t>
  </si>
  <si>
    <t xml:space="preserve">UNCHANGED. Under position A the client column sets the price, and no client line moved.</t>
  </si>
  <si>
    <t xml:space="preserve">Solution model comparison — A: Connect360 + WPCO   ·   B: TogetherNow (MyWayfinder) + Databricks base, WPCO decision plane</t>
  </si>
  <si>
    <t xml:space="preserve">Ceding a capability to a partner removes OUR build effort. It does not remove integration effort — across four organisations and three seams it adds it. Platform licence (A26) is an assumption and is the dominant swing factor; see the sensitivity below. Class-4.</t>
  </si>
  <si>
    <t xml:space="preserve">CY2027 line</t>
  </si>
  <si>
    <t xml:space="preserve">A asset</t>
  </si>
  <si>
    <t xml:space="preserve">B asset</t>
  </si>
  <si>
    <t xml:space="preserve">A client</t>
  </si>
  <si>
    <t xml:space="preserve">B client</t>
  </si>
  <si>
    <t xml:space="preserve">Disposition under stack B</t>
  </si>
  <si>
    <t xml:space="preserve">Identity — CIE ID, merge/unmerge, stewardship</t>
  </si>
  <si>
    <t xml:space="preserve">CEDE matching to Databricks ER; keep the identity API adapter</t>
  </si>
  <si>
    <t xml:space="preserve">Consent — directive model, enforcement, revoke</t>
  </si>
  <si>
    <t xml:space="preserve">KEEP directive semantics; ADD a bridge from directives to Unity Catalog ABAC</t>
  </si>
  <si>
    <t xml:space="preserve">Provenance, cross-org read audit, retention</t>
  </si>
  <si>
    <t xml:space="preserve">KEEP — decision provenance is not data lineage</t>
  </si>
  <si>
    <t xml:space="preserve">RBAC, roles, delegated org admin</t>
  </si>
  <si>
    <t xml:space="preserve">SHARE with Unity Catalog and MyWayfinder; roles now span three products</t>
  </si>
  <si>
    <t xml:space="preserve">Event log — types, idempotency, ordering</t>
  </si>
  <si>
    <t xml:space="preserve">KEEP and GROW — no Connect360 NAS; WPCO owns the operational event spine</t>
  </si>
  <si>
    <t xml:space="preserve">Owned FHIR facade (US Core + SDOHCC)</t>
  </si>
  <si>
    <t xml:space="preserve">KEEP and GROW — Delta Sharing is not a FHIR API; models #3/#4 need one</t>
  </si>
  <si>
    <t xml:space="preserve">Domain verbs + statewide reason codes</t>
  </si>
  <si>
    <t xml:space="preserve">KEEP — the contract surface</t>
  </si>
  <si>
    <t xml:space="preserve">Worker surfaces</t>
  </si>
  <si>
    <t xml:space="preserve">CEDE the general portal to MyWayfinder; keep CHW, crisis, panel, care-team inbox</t>
  </si>
  <si>
    <t xml:space="preserve">Operational projection / read store</t>
  </si>
  <si>
    <t xml:space="preserve">KEEP and GROW — the operational store between Delta and the app</t>
  </si>
  <si>
    <t xml:space="preserve">Conform &amp; write — source adapters</t>
  </si>
  <si>
    <t xml:space="preserve">CEDE ingestion and mapping to Databricks</t>
  </si>
  <si>
    <t xml:space="preserve">KEEP — composite read over the operational store</t>
  </si>
  <si>
    <t xml:space="preserve">Directory adapter</t>
  </si>
  <si>
    <t xml:space="preserve">CEDE the directory to MyWayfinder; federate to it and to the statewide source</t>
  </si>
  <si>
    <t xml:space="preserve">Referral lifecycle</t>
  </si>
  <si>
    <t xml:space="preserve">CEDE the UI; KEEP closed-loop lifecycle semantics across organisations</t>
  </si>
  <si>
    <t xml:space="preserve">CEDE to MyWayfinder</t>
  </si>
  <si>
    <t xml:space="preserve">Accessibility — WCAG 2.1 AA, VPAT</t>
  </si>
  <si>
    <t xml:space="preserve">SMALLER — fewer WPCO screens; partners carry their own</t>
  </si>
  <si>
    <t xml:space="preserve">HITRUST / SOC 2 evidence + pen test</t>
  </si>
  <si>
    <t xml:space="preserve">KEEP — the joint solution still needs certifying</t>
  </si>
  <si>
    <t xml:space="preserve">WaTech SDR + PTA</t>
  </si>
  <si>
    <t xml:space="preserve">Partner onboarding factory</t>
  </si>
  <si>
    <t xml:space="preserve">UP — partners now integrate across two platforms and an app</t>
  </si>
  <si>
    <t xml:space="preserve">Programme management</t>
  </si>
  <si>
    <t xml:space="preserve">UP — four organisations, three seams, subcontract management</t>
  </si>
  <si>
    <t xml:space="preserve">Operations &amp; tier-2/3</t>
  </si>
  <si>
    <t xml:space="preserve">CY2027 total</t>
  </si>
  <si>
    <t xml:space="preserve">FIVE-YEAR COMPARISON</t>
  </si>
  <si>
    <t xml:space="preserve">A Washington price</t>
  </si>
  <si>
    <t xml:space="preserve">B Washington price</t>
  </si>
  <si>
    <t xml:space="preserve">Ceiling</t>
  </si>
  <si>
    <t xml:space="preserve">B fits</t>
  </si>
  <si>
    <t xml:space="preserve">IBM product investment — stack A</t>
  </si>
  <si>
    <t xml:space="preserve">IBM product investment — stack B</t>
  </si>
  <si>
    <t xml:space="preserve">Stack B saves IBM</t>
  </si>
  <si>
    <t xml:space="preserve">Stack B costs WASHINGTON more</t>
  </si>
  <si>
    <t xml:space="preserve">PLATFORM-LICENCE SENSITIVITY (A26) — the dominant variable</t>
  </si>
  <si>
    <t xml:space="preserve">Databricks $/yr</t>
  </si>
  <si>
    <t xml:space="preserve">B five-year price</t>
  </si>
  <si>
    <t xml:space="preserve">vs stack A</t>
  </si>
  <si>
    <t xml:space="preserve">Verdict</t>
  </si>
  <si>
    <t xml:space="preserve">B cheaper for Washington</t>
  </si>
  <si>
    <t xml:space="preserve">crossover</t>
  </si>
  <si>
    <t xml:space="preserve">B dearer for Washington</t>
  </si>
  <si>
    <t xml:space="preserve">Crossover is about $237,000/yr of platform licence. Below it stack B is cheaper for Washington; above it stack B is dearer and loses cost-score points. Nobody has sized the licence, so nobody currently knows which side of the line this bid sits on.</t>
  </si>
  <si>
    <t xml:space="preserve">Five-year phase plan, right-sized to the annual ceilings</t>
  </si>
  <si>
    <t xml:space="preserve">Each year is scoped to what that year's ceiling can fund at the target margin — not to the wish list.</t>
  </si>
  <si>
    <t xml:space="preserve">Price</t>
  </si>
  <si>
    <t xml:space="preserve">MVP — see the CY2027 MVP sheet (configuration case)</t>
  </si>
  <si>
    <t xml:space="preserve">Operations, tier-2/3 support, PM, annual recertification</t>
  </si>
  <si>
    <t xml:space="preserve">Next partner cohort onboarding</t>
  </si>
  <si>
    <t xml:space="preserve">Granular consent policy authoring  [RFP Phase 2]</t>
  </si>
  <si>
    <t xml:space="preserve">Shared collaborative care plan, element-level attribution  [RFP Phase 2]</t>
  </si>
  <si>
    <t xml:space="preserve">Population &amp; equity analytics over the full MVP history  [RFP Phase 2]</t>
  </si>
  <si>
    <t xml:space="preserve">CY2028 total</t>
  </si>
  <si>
    <t xml:space="preserve">Operations, support, PM, recertification</t>
  </si>
  <si>
    <t xml:space="preserve">Event notification ingest / parse / exchange  [RFP Phase 3]</t>
  </si>
  <si>
    <t xml:space="preserve">Knowledge graph as a projection — hydrated by REPLAYING the MVP event log</t>
  </si>
  <si>
    <t xml:space="preserve">Journey engine v1 — deterministic timeline over the recorded temporal spine</t>
  </si>
  <si>
    <t xml:space="preserve">WPC context ranking, behind the citizenEverything seam — no partner-facing change</t>
  </si>
  <si>
    <t xml:space="preserve">CY2029 total</t>
  </si>
  <si>
    <t xml:space="preserve">Real-time dispatch + signal dispositioning engine</t>
  </si>
  <si>
    <t xml:space="preserve">Graph inference, scoring, household &amp; family linkage</t>
  </si>
  <si>
    <t xml:space="preserve">Enrollment verification + remaining change subscriptions</t>
  </si>
  <si>
    <t xml:space="preserve">Directory stewardship model</t>
  </si>
  <si>
    <t xml:space="preserve">CY2030 total</t>
  </si>
  <si>
    <t xml:space="preserve">Governed agents (HITL) over the MVP domain verbs &amp; actor model</t>
  </si>
  <si>
    <t xml:space="preserve">Care-plan intelligence</t>
  </si>
  <si>
    <t xml:space="preserve">Forecasting &amp; equity monitoring</t>
  </si>
  <si>
    <t xml:space="preserve">Advanced consent interoperability with external networks</t>
  </si>
  <si>
    <t xml:space="preserve">CY2031 total</t>
  </si>
  <si>
    <t xml:space="preserve">DOES NOT FIT THE FIVE-YEAR ENVELOPE AT ALL — needs another funding source or falls away</t>
  </si>
  <si>
    <t xml:space="preserve">Excluded total</t>
  </si>
  <si>
    <t xml:space="preserve">Stated plainly: the full WPCO vision does not fit inside the WA CIE envelope even across five fully-phased years. The engines and the graph arrive; the agentic marketplace, the household thread and the client-facing portal do not. If they matter, they need a second funding source — which is the argument for a pipeline, not for loading them into this bid.</t>
  </si>
  <si>
    <t xml:space="preserve">Six tests decide $2.2M of CY2027 scope. None costs more than a day.</t>
  </si>
  <si>
    <t xml:space="preserve">Run these BEFORE the cost proposal is priced. Each one moves the plan between the configuration case and the construction case.</t>
  </si>
  <si>
    <t xml:space="preserve">Gate</t>
  </si>
  <si>
    <t xml:space="preserve">The question</t>
  </si>
  <si>
    <t xml:space="preserve">Cost to answer</t>
  </si>
  <si>
    <t xml:space="preserve">Decides</t>
  </si>
  <si>
    <t xml:space="preserve">Config FTE-mo</t>
  </si>
  <si>
    <t xml:space="preserve">Construct FTE-mo</t>
  </si>
  <si>
    <t xml:space="preserve">Swing FTE-mo</t>
  </si>
  <si>
    <t xml:space="preserve">Swing $</t>
  </si>
  <si>
    <t xml:space="preserve">If it fails</t>
  </si>
  <si>
    <t xml:space="preserve">G3</t>
  </si>
  <si>
    <t xml:space="preserve">Can the existing Connect360 portal be extended to worker roles, or is a new worker application required?</t>
  </si>
  <si>
    <t xml:space="preserve">Repo review + staff-scoped demo</t>
  </si>
  <si>
    <t xml:space="preserve">Participant portal</t>
  </si>
  <si>
    <t xml:space="preserve">The largest single number in the plan. No worker UI has ever been observed and the prior staffing model contained no front-end engineering role at all. A new build is 26 FTE-months of front-end at ONE concurrent engineer, which is the floor and not the estimate.</t>
  </si>
  <si>
    <t xml:space="preserve">G2</t>
  </si>
  <si>
    <t xml:space="preserve">Does Connect360 hold current HITRUST r2 and SOC 2 Type II certifications?</t>
  </si>
  <si>
    <t xml:space="preserve">One call</t>
  </si>
  <si>
    <t xml:space="preserve">Certification lane</t>
  </si>
  <si>
    <t xml:space="preserve">Certification is a contractual pre-condition of MVP launch with an immediate-termination trigger. HITRUST r2 from a standing start is 9-18 months; contract start to MVP is 25 weeks. If the answer is no, this bid needs a certified partner or it cannot be delivered.</t>
  </si>
  <si>
    <t xml:space="preserve">G5</t>
  </si>
  <si>
    <t xml:space="preserve">Is the resource directory carved out to the statewide directory partner?</t>
  </si>
  <si>
    <t xml:space="preserve">Written question to Comagine by 9 October</t>
  </si>
  <si>
    <t xml:space="preserve">Directory</t>
  </si>
  <si>
    <t xml:space="preserve">Sec. 3.1 says Comagine is in discussions with a statewide directory partner. If carved out we federate; if not we own corpus sourcing and curation, which is an operation, not code.</t>
  </si>
  <si>
    <t xml:space="preserve">G4</t>
  </si>
  <si>
    <t xml:space="preserve">Does a role / permission model with delegated organisation administration exist?</t>
  </si>
  <si>
    <t xml:space="preserve">Schema review</t>
  </si>
  <si>
    <t xml:space="preserve">RBAC &amp; delegated admin</t>
  </si>
  <si>
    <t xml:space="preserve">No role or permission type appears in the 553 introspected types. IAM is a named MVP capability area with 10 MVP requirements and, in a CIE, delegated admin is customer-facing.</t>
  </si>
  <si>
    <t xml:space="preserve">G6</t>
  </si>
  <si>
    <t xml:space="preserve">Does matchPerson / resolveIdentity exist behind the gateway, and can it be fronted?</t>
  </si>
  <si>
    <t xml:space="preserve">Identity resolution</t>
  </si>
  <si>
    <t xml:space="preserve">There is no $match, no PIX and no PDQ at the gateway, and the EMPI's existence rests on a verbal statement. Client identity management is a named MVP capability and identity is the state's own number-one current-state gap.</t>
  </si>
  <si>
    <t xml:space="preserve">G1</t>
  </si>
  <si>
    <t xml:space="preserve">Is provision.securityLabel enforced at QUERY time, not just stored?</t>
  </si>
  <si>
    <t xml:space="preserve">One hour</t>
  </si>
  <si>
    <t xml:space="preserve">Consent enforcement</t>
  </si>
  <si>
    <t xml:space="preserve">Write a Consent with a securityLabel, query as a principal outside the provision, see whether the resource is withheld. If it is not, the pipeline writes labels nothing enforces — which is worse than no labelling, because the security representation is carried into the WaTech Security Design Review.</t>
  </si>
  <si>
    <t xml:space="preserve">TOTAL DECIDED BY SIX TESTS</t>
  </si>
  <si>
    <t xml:space="preserve">What $3,400,000 actually buys in CY2027</t>
  </si>
  <si>
    <t xml:space="preserve">Gross margin is the lever that decides whether the configuration case fits. The construction case does not fit at any margin.</t>
  </si>
  <si>
    <t xml:space="preserve">Construction-case effort, CY2027 (FTE-months), used in column D:</t>
  </si>
  <si>
    <t xml:space="preserve">Gross margin</t>
  </si>
  <si>
    <t xml:space="preserve">Configuration case price</t>
  </si>
  <si>
    <t xml:space="preserve">Headroom vs ceiling</t>
  </si>
  <si>
    <t xml:space="preserve">Construction case price</t>
  </si>
  <si>
    <t xml:space="preserve">Gap vs ceiling</t>
  </si>
  <si>
    <t xml:space="preserve">Affordable effort (FTE-mo)</t>
  </si>
  <si>
    <t xml:space="preserve">READ THIS ROW BY ROW.</t>
  </si>
  <si>
    <t xml:space="preserve">The configuration case fits CY2027 at roughly 7% gross margin and is about $108,000 over at 10%. That is a real, closeable gap — three FTE-months of scope, or a thinner year-one margin recovered in CY2028-31 where there is headroom.</t>
  </si>
  <si>
    <t xml:space="preserve">The construction case is $4.3M to $6.3M over the CY2027 ceiling at every margin tested. There is no pricing structure that recovers it. Exceeding an annual ceiling may be deemed nonresponsive and may not be scored.</t>
  </si>
  <si>
    <t xml:space="preserve">Two structural facts behind these numbers, both from the RFP:</t>
  </si>
  <si>
    <t xml:space="preserve">Sec. 3.6.4 — all services must be performed within the United States or its territories. The prior estimate's 54.3% offshore blend is void. At 100% onshore premium the prior committed number rises from $5,093,845 to $8,023,500 and Position B from $6,316,265 to $10,573,650.</t>
  </si>
  <si>
    <t xml:space="preserve">Evaluated Cost is defined twice in Sec. 5.7, once with three components and once with four — and in the four-component version Year-1 M&amp;O and subscription are counted separately AND inside the full five-year recurring total. Recurring dollars are scored roughly twice, which penalises amortising a platform into subscription at about 2x relative to loading it into implementation milestones. Submit a written clarification; it is free and it moves the score.</t>
  </si>
  <si>
    <t xml:space="preserve">Open risks carried into the bid</t>
  </si>
  <si>
    <t xml:space="preserve">Each one is named, owned and either priced or explicitly excluded. Nothing here is a surprise after signature.</t>
  </si>
  <si>
    <t xml:space="preserve">Risk</t>
  </si>
  <si>
    <t xml:space="preserve">Exposure</t>
  </si>
  <si>
    <t xml:space="preserve">Mitigation / what retires it</t>
  </si>
  <si>
    <t xml:space="preserve">No rate card. Both labour rates are ASSUMPTIONS; the prior plan's rates were marked ILLUSTRATIVE and that caveat has now been live across three document versions.</t>
  </si>
  <si>
    <t xml:space="preserve">Whole model</t>
  </si>
  <si>
    <t xml:space="preserve">Get the real US rate card with a vintage and a named delivery-centre location before the cost proposal is priced. Until then every figure here is directional.</t>
  </si>
  <si>
    <t xml:space="preserve">Certification not held. HITRUST r2 and SOC 2 Type II are a pre-condition of MVP launch with an immediate-termination trigger.</t>
  </si>
  <si>
    <t xml:space="preserve">8 FTE-mo, and deliverability</t>
  </si>
  <si>
    <t xml:space="preserve">Gate test G2. If Connect360 does not hold them, team with a partner who does — that decision changes Submittal Form A and cannot wait.</t>
  </si>
  <si>
    <t xml:space="preserve">Consent enforcement unproven. The provision model exists; query-time enforcement has never been tested.</t>
  </si>
  <si>
    <t xml:space="preserve">4.5 FTE-mo + the security representation</t>
  </si>
  <si>
    <t xml:space="preserve">Gate test G1. One hour. Run it before pricing.</t>
  </si>
  <si>
    <t xml:space="preserve">No worker application observed anywhere in Connect360 — only API surface.</t>
  </si>
  <si>
    <t xml:space="preserve">27 FTE-mo</t>
  </si>
  <si>
    <t xml:space="preserve">Gate test G3. The single largest swing in the plan.</t>
  </si>
  <si>
    <t xml:space="preserve">Three MVP capabilities depend on another IBM organisation's unscheduled backlog: the composite resolver, 21 unexposed change subscriptions, and matchPerson / resolveIdentity.</t>
  </si>
  <si>
    <t xml:space="preserve">Schedule + credit</t>
  </si>
  <si>
    <t xml:space="preserve">Written commitment with dates from the connect360-saas org, or price them as owned. Consuming NATS directly bypasses the proxy, which is the sole enforcer of tenant isolation — so there is no safe workaround.</t>
  </si>
  <si>
    <t xml:space="preserve">Two-year term against a five-year plan. CY2029-31 are options at Comagine's sole discretion.</t>
  </si>
  <si>
    <t xml:space="preserve">$10.5M of the envelope</t>
  </si>
  <si>
    <t xml:space="preserve">Build the investment case on CY2027-28 only. If it does not clear on $6.8M gross, it does not clear.</t>
  </si>
  <si>
    <t xml:space="preserve">Section 701 gated funding. Milestone gates and budget approvals before funds release; no advance or mobilisation payment exists in the RFP.</t>
  </si>
  <si>
    <t xml:space="preserve">Working capital across H1 2027</t>
  </si>
  <si>
    <t xml:space="preserve">Decompose CY2027 into 8-12 acceptance milestones weighted toward design, SDR pass, environment provisioning and per-partner acceptance. Negotiate subscription billing from environment provisioning rather than go-live.</t>
  </si>
  <si>
    <t xml:space="preserve">Cost is 300 of 1000 points on a lowest-price ratio, against a hard annual ceiling.</t>
  </si>
  <si>
    <t xml:space="preserve">Up to 88 points</t>
  </si>
  <si>
    <t xml:space="preserve">Price the deployment and the operations, not a platform build. Every amortisation dollar is score loss.</t>
  </si>
  <si>
    <t xml:space="preserve">MVP date is fixed at 30 June 2027 with 6-8 partner integrations. Integration volume is not a variable that can be phased.</t>
  </si>
  <si>
    <t xml:space="preserve">Schedule</t>
  </si>
  <si>
    <t xml:space="preserve">The onboarding factory in CY2027 is sized at 10 FTE-months for 6-8 partners. Comparable procurements run $60-90k fully loaded per partner; this is the line most often under-estimated by half.</t>
  </si>
  <si>
    <t xml:space="preserve">Tribal and IHS data sovereignty was withdrawn from the prior estimate as geography-specific.</t>
  </si>
  <si>
    <t xml:space="preserve">Compliance</t>
  </si>
  <si>
    <t xml:space="preserve">RESTORED at 1.5 FTE-months. Washington has 29 federally recognised tribes and the RFP requires compliance with applicable Tribal requirements.</t>
  </si>
  <si>
    <t xml:space="preserve">Accessibility and Section 1557 language access were absent from the prior pack entirely.</t>
  </si>
  <si>
    <t xml:space="preserve">Compliance + rework</t>
  </si>
  <si>
    <t xml:space="preserve">Designed in at 3.0 FTE-months. Retrofitted accessibility across worker surfaces runs 3-5x the cost of designed-in.</t>
  </si>
  <si>
    <t xml:space="preserve">Non-labour costs are only partly modelled: Connect360 internal chargeback, Azure consumption, assessor fees and travel are in; terminology licensing, HISP fees and AIRS membership are not.</t>
  </si>
  <si>
    <t xml:space="preserve">Unquantified</t>
  </si>
  <si>
    <t xml:space="preserve">Build the non-labour register before the cost proposal. The two-rate-cell model is structurally incapable of representing them.</t>
  </si>
</sst>
</file>

<file path=xl/styles.xml><?xml version="1.0" encoding="utf-8"?>
<styleSheet xmlns="http://schemas.openxmlformats.org/spreadsheetml/2006/main">
  <numFmts count="9">
    <numFmt numFmtId="164" formatCode="General"/>
    <numFmt numFmtId="165" formatCode="\$#,##0;&quot;($&quot;#,##0\);\-"/>
    <numFmt numFmtId="166" formatCode="0.0%"/>
    <numFmt numFmtId="167" formatCode="#,##0.00;\(#,##0.00\);\-"/>
    <numFmt numFmtId="168" formatCode="0%"/>
    <numFmt numFmtId="169" formatCode="\$#,##0"/>
    <numFmt numFmtId="170" formatCode="#,##0.0;\(#,##0.0\);\-"/>
    <numFmt numFmtId="171" formatCode="0.00"/>
    <numFmt numFmtId="172" formatCode="\$#,##0"/>
  </numFmts>
  <fonts count="3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name val="Arial"/>
      <family val="0"/>
      <charset val="1"/>
    </font>
    <font>
      <b val="true"/>
      <sz val="10"/>
      <color rgb="FF0000FF"/>
      <name val="Arial"/>
      <family val="0"/>
      <charset val="1"/>
    </font>
    <font>
      <sz val="10"/>
      <name val="Arial"/>
      <family val="0"/>
      <charset val="1"/>
    </font>
    <font>
      <b val="true"/>
      <sz val="11"/>
      <name val="Cambria"/>
      <family val="0"/>
      <charset val="1"/>
    </font>
    <font>
      <b val="true"/>
      <sz val="11"/>
      <color rgb="FFFFFFFF"/>
      <name val="Arial"/>
      <family val="0"/>
      <charset val="1"/>
    </font>
    <font>
      <b val="true"/>
      <sz val="10"/>
      <color rgb="FFC00000"/>
      <name val="Arial"/>
      <family val="0"/>
      <charset val="1"/>
    </font>
    <font>
      <b val="true"/>
      <sz val="10"/>
      <color rgb="FFFFFFFF"/>
      <name val="Arial"/>
      <family val="0"/>
      <charset val="1"/>
    </font>
    <font>
      <sz val="9"/>
      <name val="Arial"/>
      <family val="0"/>
      <charset val="1"/>
    </font>
    <font>
      <sz val="10"/>
      <color rgb="FF0000FF"/>
      <name val="Arial"/>
      <family val="0"/>
      <charset val="1"/>
    </font>
    <font>
      <i val="true"/>
      <sz val="9"/>
      <color rgb="FF5A6A62"/>
      <name val="Cambria"/>
      <family val="0"/>
      <charset val="1"/>
    </font>
    <font>
      <b val="true"/>
      <sz val="10"/>
      <name val="Cambria"/>
      <family val="0"/>
      <charset val="1"/>
    </font>
    <font>
      <sz val="11"/>
      <name val="Cambria"/>
      <family val="0"/>
      <charset val="1"/>
    </font>
    <font>
      <b val="true"/>
      <sz val="9"/>
      <color rgb="FFFFFFFF"/>
      <name val="Cambria"/>
      <family val="0"/>
      <charset val="1"/>
    </font>
    <font>
      <b val="true"/>
      <sz val="9"/>
      <name val="Cambria"/>
      <family val="0"/>
      <charset val="1"/>
    </font>
    <font>
      <sz val="9"/>
      <name val="Cambria"/>
      <family val="0"/>
      <charset val="1"/>
    </font>
    <font>
      <b val="true"/>
      <sz val="8"/>
      <color rgb="FFFFFFFF"/>
      <name val="Arial"/>
      <family val="0"/>
      <charset val="1"/>
    </font>
    <font>
      <b val="true"/>
      <sz val="13"/>
      <name val="Cambria"/>
      <family val="0"/>
      <charset val="1"/>
    </font>
    <font>
      <b val="true"/>
      <sz val="11"/>
      <color rgb="FFB4462E"/>
      <name val="Cambria"/>
      <family val="0"/>
      <charset val="1"/>
    </font>
    <font>
      <b val="true"/>
      <i val="true"/>
      <sz val="9"/>
      <color rgb="FF14594B"/>
      <name val="Cambria"/>
      <family val="0"/>
      <charset val="1"/>
    </font>
    <font>
      <b val="true"/>
      <sz val="12"/>
      <name val="Cambria"/>
      <family val="0"/>
      <charset val="1"/>
    </font>
    <font>
      <sz val="9"/>
      <color rgb="FFB4462E"/>
      <name val="Cambria"/>
      <family val="0"/>
      <charset val="1"/>
    </font>
    <font>
      <b val="true"/>
      <sz val="9"/>
      <color rgb="FF14594B"/>
      <name val="Cambria"/>
      <family val="0"/>
      <charset val="1"/>
    </font>
    <font>
      <b val="true"/>
      <sz val="11"/>
      <color rgb="FF14594B"/>
      <name val="Cambria"/>
      <family val="0"/>
      <charset val="1"/>
    </font>
    <font>
      <b val="true"/>
      <i val="true"/>
      <sz val="9"/>
      <color rgb="FFB4462E"/>
      <name val="Cambria"/>
      <family val="0"/>
      <charset val="1"/>
    </font>
  </fonts>
  <fills count="20">
    <fill>
      <patternFill patternType="none"/>
    </fill>
    <fill>
      <patternFill patternType="gray125"/>
    </fill>
    <fill>
      <patternFill patternType="solid">
        <fgColor rgb="FFD9E2F3"/>
        <bgColor rgb="FFD8DAD5"/>
      </patternFill>
    </fill>
    <fill>
      <patternFill patternType="solid">
        <fgColor rgb="FFFFFF00"/>
        <bgColor rgb="FFFFFF00"/>
      </patternFill>
    </fill>
    <fill>
      <patternFill patternType="solid">
        <fgColor rgb="FF1F3864"/>
        <bgColor rgb="FF102A43"/>
      </patternFill>
    </fill>
    <fill>
      <patternFill patternType="solid">
        <fgColor rgb="FFE2EFDA"/>
        <bgColor rgb="FFE4EFEA"/>
      </patternFill>
    </fill>
    <fill>
      <patternFill patternType="solid">
        <fgColor rgb="FFF2F2F2"/>
        <bgColor rgb="FFE7EEF6"/>
      </patternFill>
    </fill>
    <fill>
      <patternFill patternType="solid">
        <fgColor rgb="FFFCE4D6"/>
        <bgColor rgb="FFF6E7E2"/>
      </patternFill>
    </fill>
    <fill>
      <patternFill patternType="solid">
        <fgColor rgb="FFE4EFEA"/>
        <bgColor rgb="FFE7EEF6"/>
      </patternFill>
    </fill>
    <fill>
      <patternFill patternType="solid">
        <fgColor rgb="FFE7EEF6"/>
        <bgColor rgb="FFE4EFEA"/>
      </patternFill>
    </fill>
    <fill>
      <patternFill patternType="solid">
        <fgColor rgb="FF1A1A1A"/>
        <bgColor rgb="FF102A43"/>
      </patternFill>
    </fill>
    <fill>
      <patternFill patternType="solid">
        <fgColor rgb="FFFDF3DE"/>
        <bgColor rgb="FFFFF4E0"/>
      </patternFill>
    </fill>
    <fill>
      <patternFill patternType="solid">
        <fgColor rgb="FFF6E7E2"/>
        <bgColor rgb="FFFCE4D6"/>
      </patternFill>
    </fill>
    <fill>
      <patternFill patternType="solid">
        <fgColor rgb="FF188977"/>
        <bgColor rgb="FF339966"/>
      </patternFill>
    </fill>
    <fill>
      <patternFill patternType="solid">
        <fgColor rgb="FF176B87"/>
        <bgColor rgb="FF188977"/>
      </patternFill>
    </fill>
    <fill>
      <patternFill patternType="solid">
        <fgColor rgb="FF102A43"/>
        <bgColor rgb="FF1F3864"/>
      </patternFill>
    </fill>
    <fill>
      <patternFill patternType="solid">
        <fgColor rgb="FF0F4AB4"/>
        <bgColor rgb="FF176B87"/>
      </patternFill>
    </fill>
    <fill>
      <patternFill patternType="solid">
        <fgColor rgb="FF6157A6"/>
        <bgColor rgb="FF595959"/>
      </patternFill>
    </fill>
    <fill>
      <patternFill patternType="solid">
        <fgColor rgb="FFD59B2D"/>
        <bgColor rgb="FFFF8080"/>
      </patternFill>
    </fill>
    <fill>
      <patternFill patternType="solid">
        <fgColor rgb="FFFFF4E0"/>
        <bgColor rgb="FFFDF3DE"/>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D8DAD5"/>
      </left>
      <right style="thin">
        <color rgb="FFD8DAD5"/>
      </right>
      <top style="thin">
        <color rgb="FFD8DAD5"/>
      </top>
      <bottom style="thin">
        <color rgb="FFD8DAD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7" fillId="3"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0" fillId="4" borderId="0" xfId="0" applyFont="true" applyBorder="fals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bottom" textRotation="0" wrapText="false" indent="0" shrinkToFit="false"/>
      <protection locked="true" hidden="false"/>
    </xf>
    <xf numFmtId="164" fontId="11" fillId="7"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2" fillId="4" borderId="0" xfId="0" applyFont="true" applyBorder="fals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7" fontId="14" fillId="8" borderId="1" xfId="0" applyFont="true" applyBorder="true" applyAlignment="true" applyProtection="false">
      <alignment horizontal="general" vertical="bottom" textRotation="0" wrapText="false" indent="0" shrinkToFit="false"/>
      <protection locked="true" hidden="false"/>
    </xf>
    <xf numFmtId="167" fontId="14" fillId="9" borderId="1" xfId="0" applyFont="true" applyBorder="true" applyAlignment="true" applyProtection="false">
      <alignment horizontal="general" vertical="bottom" textRotation="0" wrapText="false" indent="0" shrinkToFit="false"/>
      <protection locked="true" hidden="false"/>
    </xf>
    <xf numFmtId="165" fontId="0" fillId="8" borderId="1" xfId="0" applyFont="false" applyBorder="true" applyAlignment="true" applyProtection="false">
      <alignment horizontal="general" vertical="bottom" textRotation="0" wrapText="false" indent="0" shrinkToFit="false"/>
      <protection locked="true" hidden="false"/>
    </xf>
    <xf numFmtId="165" fontId="0" fillId="9" borderId="1" xfId="0" applyFont="false" applyBorder="tru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4" fontId="0" fillId="2" borderId="1" xfId="0" applyFont="fals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7" fontId="6" fillId="2" borderId="1" xfId="0" applyFont="true" applyBorder="true" applyAlignment="true" applyProtection="false">
      <alignment horizontal="general" vertical="bottom" textRotation="0" wrapText="false" indent="0" shrinkToFit="false"/>
      <protection locked="true" hidden="false"/>
    </xf>
    <xf numFmtId="165" fontId="6" fillId="2" borderId="1" xfId="0" applyFont="true" applyBorder="true" applyAlignment="tru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6" fillId="8" borderId="1" xfId="0" applyFont="true" applyBorder="tru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6" fillId="2" borderId="1" xfId="0" applyFont="tru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5" fontId="6" fillId="5" borderId="1"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10"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69" fontId="20" fillId="0" borderId="2" xfId="0" applyFont="true" applyBorder="true" applyAlignment="true" applyProtection="false">
      <alignment horizontal="center" vertical="bottom" textRotation="0" wrapText="true" indent="0" shrinkToFit="false"/>
      <protection locked="true" hidden="false"/>
    </xf>
    <xf numFmtId="164" fontId="20" fillId="0" borderId="2" xfId="0" applyFont="true" applyBorder="true" applyAlignment="true" applyProtection="false">
      <alignment horizontal="center" vertical="bottom"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5" fillId="11" borderId="0" xfId="0" applyFont="true" applyBorder="fals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4" fontId="16" fillId="12"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2" fillId="4" borderId="0" xfId="0" applyFont="true" applyBorder="false" applyAlignment="true" applyProtection="false">
      <alignment horizontal="center" vertical="center" textRotation="0" wrapText="false" indent="0" shrinkToFit="false"/>
      <protection locked="true" hidden="false"/>
    </xf>
    <xf numFmtId="164" fontId="12" fillId="4" borderId="0" xfId="0" applyFont="true" applyBorder="false" applyAlignment="true" applyProtection="false">
      <alignment horizontal="center" vertical="bottom" textRotation="0" wrapText="false" indent="0" shrinkToFit="false"/>
      <protection locked="true" hidden="false"/>
    </xf>
    <xf numFmtId="164" fontId="21" fillId="4" borderId="0" xfId="0" applyFont="true" applyBorder="fals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general" vertical="center" textRotation="0" wrapText="false" indent="0" shrinkToFit="false"/>
      <protection locked="true" hidden="false"/>
    </xf>
    <xf numFmtId="170" fontId="13" fillId="0" borderId="1" xfId="0" applyFont="true" applyBorder="true" applyAlignment="true" applyProtection="false">
      <alignment horizontal="general" vertical="bottom" textRotation="0" wrapText="false" indent="0" shrinkToFit="false"/>
      <protection locked="true" hidden="false"/>
    </xf>
    <xf numFmtId="164" fontId="0" fillId="13" borderId="0" xfId="0" applyFont="false" applyBorder="false" applyAlignment="true" applyProtection="false">
      <alignment horizontal="general"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0" fillId="15" borderId="0" xfId="0" applyFont="false" applyBorder="false" applyAlignment="true" applyProtection="false">
      <alignment horizontal="general" vertical="bottom" textRotation="0" wrapText="false" indent="0" shrinkToFit="false"/>
      <protection locked="true" hidden="false"/>
    </xf>
    <xf numFmtId="164" fontId="0" fillId="16" borderId="0" xfId="0" applyFont="false" applyBorder="false" applyAlignment="true" applyProtection="false">
      <alignment horizontal="general" vertical="bottom" textRotation="0" wrapText="false" indent="0" shrinkToFit="false"/>
      <protection locked="true" hidden="false"/>
    </xf>
    <xf numFmtId="164" fontId="0" fillId="17" borderId="0" xfId="0" applyFont="false" applyBorder="false" applyAlignment="true" applyProtection="false">
      <alignment horizontal="general" vertical="bottom" textRotation="0" wrapText="false" indent="0" shrinkToFit="false"/>
      <protection locked="true" hidden="false"/>
    </xf>
    <xf numFmtId="164" fontId="0" fillId="18" borderId="0" xfId="0" applyFont="false" applyBorder="false" applyAlignment="true" applyProtection="false">
      <alignment horizontal="general" vertical="bottom" textRotation="0" wrapText="false" indent="0" shrinkToFit="false"/>
      <protection locked="true" hidden="false"/>
    </xf>
    <xf numFmtId="170" fontId="6" fillId="2" borderId="1" xfId="0" applyFont="true" applyBorder="tru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70" fontId="14" fillId="0" borderId="1" xfId="0" applyFont="true" applyBorder="true" applyAlignment="true" applyProtection="false">
      <alignment horizontal="general" vertical="bottom" textRotation="0" wrapText="false" indent="0" shrinkToFit="false"/>
      <protection locked="true" hidden="false"/>
    </xf>
    <xf numFmtId="164" fontId="13" fillId="9" borderId="1" xfId="0" applyFont="true" applyBorder="true" applyAlignment="true" applyProtection="false">
      <alignment horizontal="general" vertical="top" textRotation="0" wrapText="true" indent="0" shrinkToFit="false"/>
      <protection locked="true" hidden="false"/>
    </xf>
    <xf numFmtId="164" fontId="13" fillId="8" borderId="1" xfId="0" applyFont="true" applyBorder="true" applyAlignment="true" applyProtection="false">
      <alignment horizontal="general" vertical="top"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70" fontId="14" fillId="5" borderId="1" xfId="0" applyFont="true" applyBorder="true" applyAlignment="true" applyProtection="false">
      <alignment horizontal="general" vertical="bottom" textRotation="0" wrapText="false" indent="0" shrinkToFit="false"/>
      <protection locked="true" hidden="false"/>
    </xf>
    <xf numFmtId="165" fontId="0" fillId="5" borderId="1" xfId="0" applyFont="fals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bottom" textRotation="0" wrapText="false" indent="0" shrinkToFit="false"/>
      <protection locked="true" hidden="false"/>
    </xf>
    <xf numFmtId="170" fontId="6" fillId="5" borderId="1" xfId="0" applyFont="true" applyBorder="true" applyAlignment="true" applyProtection="false">
      <alignment horizontal="general" vertical="bottom" textRotation="0" wrapText="false" indent="0" shrinkToFit="false"/>
      <protection locked="true" hidden="false"/>
    </xf>
    <xf numFmtId="165" fontId="6" fillId="7" borderId="0" xfId="0" applyFont="true" applyBorder="fals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70" fontId="14" fillId="7" borderId="1" xfId="0" applyFont="true" applyBorder="true" applyAlignment="true" applyProtection="false">
      <alignment horizontal="general" vertical="bottom" textRotation="0" wrapText="false" indent="0" shrinkToFit="false"/>
      <protection locked="true" hidden="false"/>
    </xf>
    <xf numFmtId="165" fontId="0" fillId="7" borderId="1" xfId="0" applyFont="false" applyBorder="true" applyAlignment="true" applyProtection="false">
      <alignment horizontal="general" vertical="bottom" textRotation="0" wrapText="false" indent="0" shrinkToFit="false"/>
      <protection locked="true" hidden="false"/>
    </xf>
    <xf numFmtId="170" fontId="6" fillId="0" borderId="1" xfId="0" applyFont="true" applyBorder="tru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18" fillId="10" borderId="0" xfId="0" applyFont="true" applyBorder="false" applyAlignment="true" applyProtection="false">
      <alignment horizontal="center" vertical="bottom" textRotation="0" wrapText="true" indent="0" shrinkToFit="false"/>
      <protection locked="true" hidden="false"/>
    </xf>
    <xf numFmtId="164" fontId="20" fillId="0" borderId="2" xfId="0" applyFont="true" applyBorder="true" applyAlignment="true" applyProtection="false">
      <alignment horizontal="general" vertical="bottom" textRotation="0" wrapText="false" indent="0" shrinkToFit="false"/>
      <protection locked="true" hidden="false"/>
    </xf>
    <xf numFmtId="171"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71" fontId="9" fillId="0" borderId="0" xfId="0" applyFont="true" applyBorder="false" applyAlignment="true" applyProtection="false">
      <alignment horizontal="general" vertical="bottom" textRotation="0" wrapText="false" indent="0" shrinkToFit="false"/>
      <protection locked="true" hidden="false"/>
    </xf>
    <xf numFmtId="168" fontId="20" fillId="0" borderId="2" xfId="0" applyFont="true" applyBorder="true" applyAlignment="true" applyProtection="false">
      <alignment horizontal="general"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8" fillId="10" borderId="0" xfId="0" applyFont="true" applyBorder="false" applyAlignment="true" applyProtection="false">
      <alignment horizontal="center" vertical="bottom" textRotation="0" wrapText="false" indent="0" shrinkToFit="false"/>
      <protection locked="true" hidden="false"/>
    </xf>
    <xf numFmtId="171" fontId="20" fillId="19" borderId="2" xfId="0" applyFont="true" applyBorder="true" applyAlignment="true" applyProtection="false">
      <alignment horizontal="general" vertical="bottom" textRotation="0" wrapText="false" indent="0" shrinkToFit="false"/>
      <protection locked="true" hidden="false"/>
    </xf>
    <xf numFmtId="164" fontId="20" fillId="0" borderId="2" xfId="0" applyFont="true" applyBorder="true" applyAlignment="true" applyProtection="false">
      <alignment horizontal="general" vertical="top" textRotation="0" wrapText="tru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71" fontId="20" fillId="0" borderId="2" xfId="0" applyFont="true" applyBorder="true" applyAlignment="true" applyProtection="false">
      <alignment horizontal="center" vertical="bottom" textRotation="0" wrapText="fals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64" fontId="27" fillId="0" borderId="2"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72" fontId="20" fillId="0" borderId="2" xfId="0" applyFont="true" applyBorder="true" applyAlignment="true" applyProtection="false">
      <alignment horizontal="center" vertical="bottom" textRotation="0" wrapText="false" indent="0" shrinkToFit="false"/>
      <protection locked="true" hidden="false"/>
    </xf>
    <xf numFmtId="172" fontId="9" fillId="0" borderId="0" xfId="0" applyFont="true" applyBorder="false" applyAlignment="true" applyProtection="false">
      <alignment horizontal="center"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28"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72" fontId="20" fillId="19" borderId="2" xfId="0" applyFont="true" applyBorder="true" applyAlignment="true" applyProtection="false">
      <alignment horizontal="center" vertical="bottom" textRotation="0" wrapText="false" indent="0" shrinkToFit="false"/>
      <protection locked="true" hidden="false"/>
    </xf>
    <xf numFmtId="164" fontId="20" fillId="19" borderId="2" xfId="0" applyFont="true" applyBorder="true" applyAlignment="true" applyProtection="false">
      <alignment horizontal="center"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70" fontId="14"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6" fontId="14" fillId="0" borderId="1" xfId="0" applyFont="true" applyBorder="true" applyAlignment="true" applyProtection="false">
      <alignment horizontal="general" vertical="bottom" textRotation="0" wrapText="false" indent="0" shrinkToFit="false"/>
      <protection locked="true" hidden="false"/>
    </xf>
    <xf numFmtId="170" fontId="0" fillId="0" borderId="1" xfId="0" applyFont="false" applyBorder="true" applyAlignment="true" applyProtection="false">
      <alignment horizontal="general" vertical="bottom" textRotation="0" wrapText="false" indent="0" shrinkToFit="false"/>
      <protection locked="true" hidden="false"/>
    </xf>
    <xf numFmtId="166" fontId="14" fillId="3" borderId="1" xfId="0" applyFont="true" applyBorder="true" applyAlignment="true" applyProtection="false">
      <alignment horizontal="general" vertical="bottom" textRotation="0" wrapText="false" indent="0" shrinkToFit="false"/>
      <protection locked="true" hidden="false"/>
    </xf>
    <xf numFmtId="165" fontId="0" fillId="3" borderId="1" xfId="0" applyFont="false" applyBorder="true" applyAlignment="true" applyProtection="false">
      <alignment horizontal="general" vertical="bottom" textRotation="0" wrapText="false" indent="0" shrinkToFit="false"/>
      <protection locked="true" hidden="false"/>
    </xf>
    <xf numFmtId="170" fontId="0" fillId="3" borderId="1" xfId="0" applyFont="fals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188977"/>
      <rgbColor rgb="FFBFBFBF"/>
      <rgbColor rgb="FF5A6A62"/>
      <rgbColor rgb="FF9999FF"/>
      <rgbColor rgb="FF993366"/>
      <rgbColor rgb="FFFFF4E0"/>
      <rgbColor rgb="FFE4EFEA"/>
      <rgbColor rgb="FF660066"/>
      <rgbColor rgb="FFFF8080"/>
      <rgbColor rgb="FF0F4AB4"/>
      <rgbColor rgb="FFD8DAD5"/>
      <rgbColor rgb="FF000080"/>
      <rgbColor rgb="FFFF00FF"/>
      <rgbColor rgb="FFFFFF00"/>
      <rgbColor rgb="FF00FFFF"/>
      <rgbColor rgb="FF800080"/>
      <rgbColor rgb="FF800000"/>
      <rgbColor rgb="FF176B87"/>
      <rgbColor rgb="FF0000FF"/>
      <rgbColor rgb="FF00CCFF"/>
      <rgbColor rgb="FFE7EEF6"/>
      <rgbColor rgb="FFE2EFDA"/>
      <rgbColor rgb="FFFDF3DE"/>
      <rgbColor rgb="FFD9E2F3"/>
      <rgbColor rgb="FFF6E7E2"/>
      <rgbColor rgb="FFF2F2F2"/>
      <rgbColor rgb="FFFCE4D6"/>
      <rgbColor rgb="FF3366FF"/>
      <rgbColor rgb="FF33CCCC"/>
      <rgbColor rgb="FF99CC00"/>
      <rgbColor rgb="FFFFCC00"/>
      <rgbColor rgb="FFD59B2D"/>
      <rgbColor rgb="FFFF6600"/>
      <rgbColor rgb="FF6157A6"/>
      <rgbColor rgb="FF969696"/>
      <rgbColor rgb="FF102A43"/>
      <rgbColor rgb="FF339966"/>
      <rgbColor rgb="FF14594B"/>
      <rgbColor rgb="FF1A1A1A"/>
      <rgbColor rgb="FFB4462E"/>
      <rgbColor rgb="FF993366"/>
      <rgbColor rgb="FF59595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04"/>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c r="B4" s="4" t="s">
        <v>2</v>
      </c>
      <c r="C4" s="5"/>
    </row>
    <row r="5" customFormat="false" ht="36" hidden="false" customHeight="true" outlineLevel="0" collapsed="false">
      <c r="A5" s="6" t="s">
        <v>3</v>
      </c>
      <c r="B5" s="7" t="s">
        <v>4</v>
      </c>
      <c r="C5" s="8" t="s">
        <v>5</v>
      </c>
    </row>
    <row r="6" customFormat="false" ht="24" hidden="false" customHeight="true" outlineLevel="0" collapsed="false">
      <c r="A6" s="6" t="s">
        <v>6</v>
      </c>
      <c r="B6" s="7" t="s">
        <v>7</v>
      </c>
      <c r="C6" s="8" t="s">
        <v>8</v>
      </c>
    </row>
    <row r="7" customFormat="false" ht="24" hidden="false" customHeight="true" outlineLevel="0" collapsed="false">
      <c r="A7" s="6" t="s">
        <v>9</v>
      </c>
      <c r="B7" s="9" t="n">
        <v>30000</v>
      </c>
      <c r="C7" s="8" t="s">
        <v>10</v>
      </c>
    </row>
    <row r="8" customFormat="false" ht="13.5" hidden="false" customHeight="true" outlineLevel="0" collapsed="false">
      <c r="A8" s="6" t="s">
        <v>11</v>
      </c>
      <c r="B8" s="9" t="n">
        <v>45000</v>
      </c>
      <c r="C8" s="8" t="s">
        <v>12</v>
      </c>
    </row>
    <row r="9" customFormat="false" ht="24" hidden="false" customHeight="true" outlineLevel="0" collapsed="false">
      <c r="A9" s="6" t="s">
        <v>13</v>
      </c>
      <c r="B9" s="10" t="n">
        <v>0.55</v>
      </c>
      <c r="C9" s="8" t="s">
        <v>14</v>
      </c>
    </row>
    <row r="10" customFormat="false" ht="13.5" hidden="false" customHeight="true" outlineLevel="0" collapsed="false">
      <c r="A10" s="6" t="s">
        <v>15</v>
      </c>
      <c r="B10" s="11" t="n">
        <f aca="false">Assumptions!$B$9*Assumptions!$B$7+(1-Assumptions!$B$9)*Assumptions!$B$8</f>
        <v>36750</v>
      </c>
      <c r="C10" s="8" t="s">
        <v>16</v>
      </c>
    </row>
    <row r="11" customFormat="false" ht="15" hidden="false" customHeight="true" outlineLevel="0" collapsed="false">
      <c r="A11" s="4"/>
      <c r="B11" s="4" t="s">
        <v>17</v>
      </c>
      <c r="C11" s="5"/>
    </row>
    <row r="12" customFormat="false" ht="24" hidden="false" customHeight="true" outlineLevel="0" collapsed="false">
      <c r="A12" s="6" t="s">
        <v>18</v>
      </c>
      <c r="B12" s="10" t="n">
        <v>0.1</v>
      </c>
      <c r="C12" s="8" t="s">
        <v>19</v>
      </c>
    </row>
    <row r="13" customFormat="false" ht="24" hidden="false" customHeight="true" outlineLevel="0" collapsed="false">
      <c r="A13" s="6" t="s">
        <v>20</v>
      </c>
      <c r="B13" s="12" t="n">
        <v>530000</v>
      </c>
      <c r="C13" s="8" t="s">
        <v>21</v>
      </c>
    </row>
    <row r="14" customFormat="false" ht="13.5" hidden="false" customHeight="true" outlineLevel="0" collapsed="false">
      <c r="A14" s="6" t="s">
        <v>22</v>
      </c>
      <c r="B14" s="12" t="n">
        <v>480000</v>
      </c>
      <c r="C14" s="8" t="s">
        <v>23</v>
      </c>
    </row>
    <row r="15" customFormat="false" ht="15" hidden="false" customHeight="true" outlineLevel="0" collapsed="false">
      <c r="A15" s="4"/>
      <c r="B15" s="4" t="s">
        <v>24</v>
      </c>
      <c r="C15" s="5"/>
    </row>
    <row r="16" customFormat="false" ht="48" hidden="false" customHeight="true" outlineLevel="0" collapsed="false">
      <c r="A16" s="6" t="s">
        <v>25</v>
      </c>
      <c r="B16" s="7" t="s">
        <v>26</v>
      </c>
      <c r="C16" s="8" t="s">
        <v>27</v>
      </c>
    </row>
    <row r="17" customFormat="false" ht="36" hidden="false" customHeight="true" outlineLevel="0" collapsed="false">
      <c r="A17" s="6" t="s">
        <v>28</v>
      </c>
      <c r="B17" s="7" t="s">
        <v>29</v>
      </c>
      <c r="C17" s="8" t="s">
        <v>30</v>
      </c>
    </row>
    <row r="18" customFormat="false" ht="36" hidden="false" customHeight="true" outlineLevel="0" collapsed="false">
      <c r="A18" s="6" t="s">
        <v>31</v>
      </c>
      <c r="B18" s="7" t="s">
        <v>32</v>
      </c>
      <c r="C18" s="8" t="s">
        <v>33</v>
      </c>
    </row>
    <row r="19" customFormat="false" ht="36" hidden="false" customHeight="true" outlineLevel="0" collapsed="false">
      <c r="A19" s="6" t="s">
        <v>34</v>
      </c>
      <c r="B19" s="7" t="s">
        <v>35</v>
      </c>
      <c r="C19" s="8" t="s">
        <v>36</v>
      </c>
    </row>
    <row r="20" customFormat="false" ht="36" hidden="false" customHeight="true" outlineLevel="0" collapsed="false">
      <c r="A20" s="6" t="s">
        <v>37</v>
      </c>
      <c r="B20" s="7" t="s">
        <v>38</v>
      </c>
      <c r="C20" s="8" t="s">
        <v>39</v>
      </c>
    </row>
    <row r="21" customFormat="false" ht="15" hidden="false" customHeight="true" outlineLevel="0" collapsed="false">
      <c r="A21" s="4"/>
      <c r="B21" s="4" t="s">
        <v>40</v>
      </c>
      <c r="C21" s="5"/>
    </row>
    <row r="22" customFormat="false" ht="24" hidden="false" customHeight="true" outlineLevel="0" collapsed="false">
      <c r="A22" s="6" t="s">
        <v>41</v>
      </c>
      <c r="B22" s="7" t="s">
        <v>42</v>
      </c>
      <c r="C22" s="8" t="s">
        <v>43</v>
      </c>
    </row>
    <row r="23" customFormat="false" ht="24" hidden="false" customHeight="true" outlineLevel="0" collapsed="false">
      <c r="A23" s="6" t="s">
        <v>44</v>
      </c>
      <c r="B23" s="7" t="s">
        <v>45</v>
      </c>
      <c r="C23" s="8" t="s">
        <v>46</v>
      </c>
    </row>
    <row r="24" customFormat="false" ht="24" hidden="false" customHeight="true" outlineLevel="0" collapsed="false">
      <c r="A24" s="6" t="s">
        <v>47</v>
      </c>
      <c r="B24" s="7" t="s">
        <v>48</v>
      </c>
      <c r="C24" s="8" t="s">
        <v>49</v>
      </c>
    </row>
    <row r="25" customFormat="false" ht="36" hidden="false" customHeight="true" outlineLevel="0" collapsed="false">
      <c r="A25" s="6" t="s">
        <v>50</v>
      </c>
      <c r="B25" s="7" t="s">
        <v>51</v>
      </c>
      <c r="C25" s="8" t="s">
        <v>52</v>
      </c>
    </row>
    <row r="26" customFormat="false" ht="24" hidden="false" customHeight="true" outlineLevel="0" collapsed="false">
      <c r="A26" s="6" t="s">
        <v>53</v>
      </c>
      <c r="B26" s="7" t="s">
        <v>54</v>
      </c>
      <c r="C26" s="8" t="s">
        <v>55</v>
      </c>
    </row>
    <row r="27" customFormat="false" ht="24" hidden="false" customHeight="true" outlineLevel="0" collapsed="false">
      <c r="A27" s="6" t="s">
        <v>56</v>
      </c>
      <c r="B27" s="7" t="s">
        <v>57</v>
      </c>
      <c r="C27" s="8" t="s">
        <v>58</v>
      </c>
    </row>
    <row r="28" customFormat="false" ht="15" hidden="false" customHeight="true" outlineLevel="0" collapsed="false">
      <c r="B28" s="13" t="s">
        <v>59</v>
      </c>
    </row>
    <row r="29" customFormat="false" ht="41.25" hidden="false" customHeight="true" outlineLevel="0" collapsed="false">
      <c r="A29" s="1" t="s">
        <v>60</v>
      </c>
      <c r="B29" s="1" t="s">
        <v>61</v>
      </c>
      <c r="C29" s="14" t="s">
        <v>62</v>
      </c>
    </row>
    <row r="30" customFormat="false" ht="41.25" hidden="false" customHeight="true" outlineLevel="0" collapsed="false">
      <c r="A30" s="1" t="s">
        <v>63</v>
      </c>
      <c r="B30" s="1" t="s">
        <v>64</v>
      </c>
      <c r="C30" s="14" t="s">
        <v>65</v>
      </c>
    </row>
    <row r="31" customFormat="false" ht="27.75" hidden="false" customHeight="true" outlineLevel="0" collapsed="false">
      <c r="A31" s="1" t="s">
        <v>66</v>
      </c>
      <c r="B31" s="1" t="s">
        <v>67</v>
      </c>
      <c r="C31" s="14" t="s">
        <v>68</v>
      </c>
    </row>
    <row r="32" customFormat="false" ht="27.75" hidden="false" customHeight="true" outlineLevel="0" collapsed="false">
      <c r="A32" s="1" t="s">
        <v>69</v>
      </c>
      <c r="B32" s="1" t="s">
        <v>70</v>
      </c>
      <c r="C32" s="14" t="s">
        <v>71</v>
      </c>
    </row>
    <row r="33" customFormat="false" ht="54.75" hidden="false" customHeight="true" outlineLevel="0" collapsed="false">
      <c r="A33" s="1" t="s">
        <v>72</v>
      </c>
      <c r="B33" s="1" t="s">
        <v>73</v>
      </c>
      <c r="C33" s="14" t="s">
        <v>74</v>
      </c>
    </row>
    <row r="34" customFormat="false" ht="41.75" hidden="false" customHeight="false" outlineLevel="0" collapsed="false">
      <c r="A34" s="1" t="s">
        <v>75</v>
      </c>
      <c r="B34" s="1" t="s">
        <v>76</v>
      </c>
      <c r="C34" s="14" t="s">
        <v>77</v>
      </c>
    </row>
    <row r="35" customFormat="false" ht="41.75" hidden="false" customHeight="false" outlineLevel="0" collapsed="false">
      <c r="A35" s="1" t="s">
        <v>78</v>
      </c>
      <c r="B35" s="1" t="s">
        <v>79</v>
      </c>
      <c r="C35" s="14" t="s">
        <v>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8"/>
    <col collapsed="false" customWidth="true" hidden="false" outlineLevel="0" max="2" min="2" style="1" width="10"/>
    <col collapsed="false" customWidth="true" hidden="false" outlineLevel="0" max="3" min="3" style="1" width="7"/>
    <col collapsed="false" customWidth="true" hidden="false" outlineLevel="0" max="4" min="4" style="1" width="13"/>
    <col collapsed="false" customWidth="true" hidden="false" outlineLevel="0" max="5" min="5" style="1" width="12"/>
    <col collapsed="false" customWidth="true" hidden="false" outlineLevel="0" max="6" min="6" style="1" width="86"/>
  </cols>
  <sheetData>
    <row r="1" customFormat="false" ht="17.25" hidden="false" customHeight="true" outlineLevel="0" collapsed="false">
      <c r="A1" s="2" t="s">
        <v>81</v>
      </c>
    </row>
    <row r="2" customFormat="false" ht="15" hidden="false" customHeight="true" outlineLevel="0" collapsed="false">
      <c r="A2" s="3" t="s">
        <v>82</v>
      </c>
    </row>
    <row r="4" customFormat="false" ht="31.5" hidden="false" customHeight="true" outlineLevel="0" collapsed="false">
      <c r="A4" s="15" t="s">
        <v>83</v>
      </c>
      <c r="B4" s="15" t="s">
        <v>84</v>
      </c>
      <c r="C4" s="15" t="s">
        <v>85</v>
      </c>
      <c r="D4" s="15" t="s">
        <v>86</v>
      </c>
      <c r="E4" s="15" t="s">
        <v>87</v>
      </c>
      <c r="F4" s="15" t="s">
        <v>88</v>
      </c>
    </row>
    <row r="5" customFormat="false" ht="25.5" hidden="false" customHeight="true" outlineLevel="0" collapsed="false">
      <c r="A5" s="16" t="s">
        <v>89</v>
      </c>
      <c r="B5" s="17" t="s">
        <v>90</v>
      </c>
      <c r="C5" s="17" t="n">
        <v>10</v>
      </c>
      <c r="D5" s="18" t="s">
        <v>91</v>
      </c>
      <c r="E5" s="17" t="s">
        <v>92</v>
      </c>
      <c r="F5" s="16" t="s">
        <v>93</v>
      </c>
    </row>
    <row r="6" customFormat="false" ht="25.5" hidden="false" customHeight="true" outlineLevel="0" collapsed="false">
      <c r="A6" s="16" t="s">
        <v>94</v>
      </c>
      <c r="B6" s="17" t="s">
        <v>95</v>
      </c>
      <c r="C6" s="17" t="n">
        <v>3</v>
      </c>
      <c r="D6" s="19" t="s">
        <v>96</v>
      </c>
      <c r="E6" s="17" t="s">
        <v>97</v>
      </c>
      <c r="F6" s="16" t="s">
        <v>98</v>
      </c>
    </row>
    <row r="7" customFormat="false" ht="25.5" hidden="false" customHeight="true" outlineLevel="0" collapsed="false">
      <c r="A7" s="16" t="s">
        <v>99</v>
      </c>
      <c r="B7" s="17" t="s">
        <v>95</v>
      </c>
      <c r="C7" s="17" t="n">
        <v>3</v>
      </c>
      <c r="D7" s="19" t="s">
        <v>96</v>
      </c>
      <c r="E7" s="17" t="s">
        <v>97</v>
      </c>
      <c r="F7" s="16" t="s">
        <v>100</v>
      </c>
    </row>
    <row r="8" customFormat="false" ht="25.5" hidden="false" customHeight="true" outlineLevel="0" collapsed="false">
      <c r="A8" s="16" t="s">
        <v>101</v>
      </c>
      <c r="B8" s="17" t="s">
        <v>95</v>
      </c>
      <c r="C8" s="17" t="n">
        <v>18</v>
      </c>
      <c r="D8" s="19" t="s">
        <v>96</v>
      </c>
      <c r="E8" s="17" t="s">
        <v>97</v>
      </c>
      <c r="F8" s="16" t="s">
        <v>102</v>
      </c>
    </row>
    <row r="9" customFormat="false" ht="25.5" hidden="false" customHeight="true" outlineLevel="0" collapsed="false">
      <c r="A9" s="16" t="s">
        <v>103</v>
      </c>
      <c r="B9" s="17" t="s">
        <v>95</v>
      </c>
      <c r="C9" s="17" t="n">
        <v>11</v>
      </c>
      <c r="D9" s="19" t="s">
        <v>96</v>
      </c>
      <c r="E9" s="17" t="s">
        <v>97</v>
      </c>
      <c r="F9" s="16" t="s">
        <v>104</v>
      </c>
    </row>
    <row r="10" customFormat="false" ht="25.5" hidden="false" customHeight="true" outlineLevel="0" collapsed="false">
      <c r="A10" s="16" t="s">
        <v>105</v>
      </c>
      <c r="B10" s="17" t="s">
        <v>95</v>
      </c>
      <c r="C10" s="17" t="n">
        <v>8</v>
      </c>
      <c r="D10" s="19" t="s">
        <v>106</v>
      </c>
      <c r="E10" s="17" t="s">
        <v>97</v>
      </c>
      <c r="F10" s="16" t="s">
        <v>107</v>
      </c>
    </row>
    <row r="11" customFormat="false" ht="25.5" hidden="false" customHeight="true" outlineLevel="0" collapsed="false">
      <c r="A11" s="16" t="s">
        <v>108</v>
      </c>
      <c r="B11" s="17" t="s">
        <v>95</v>
      </c>
      <c r="C11" s="17" t="n">
        <v>7</v>
      </c>
      <c r="D11" s="19" t="s">
        <v>96</v>
      </c>
      <c r="E11" s="17" t="s">
        <v>97</v>
      </c>
      <c r="F11" s="16" t="s">
        <v>109</v>
      </c>
    </row>
    <row r="12" customFormat="false" ht="25.5" hidden="false" customHeight="true" outlineLevel="0" collapsed="false">
      <c r="A12" s="16" t="s">
        <v>110</v>
      </c>
      <c r="B12" s="17" t="s">
        <v>95</v>
      </c>
      <c r="C12" s="17" t="n">
        <v>9</v>
      </c>
      <c r="D12" s="20" t="s">
        <v>111</v>
      </c>
      <c r="E12" s="17" t="s">
        <v>112</v>
      </c>
      <c r="F12" s="16" t="s">
        <v>113</v>
      </c>
    </row>
    <row r="13" customFormat="false" ht="25.5" hidden="false" customHeight="true" outlineLevel="0" collapsed="false">
      <c r="A13" s="16" t="s">
        <v>114</v>
      </c>
      <c r="B13" s="17" t="s">
        <v>95</v>
      </c>
      <c r="C13" s="17" t="n">
        <v>5</v>
      </c>
      <c r="D13" s="19" t="s">
        <v>96</v>
      </c>
      <c r="E13" s="17" t="s">
        <v>97</v>
      </c>
      <c r="F13" s="16" t="s">
        <v>115</v>
      </c>
    </row>
    <row r="14" customFormat="false" ht="25.5" hidden="false" customHeight="true" outlineLevel="0" collapsed="false">
      <c r="A14" s="16" t="s">
        <v>116</v>
      </c>
      <c r="B14" s="17" t="s">
        <v>95</v>
      </c>
      <c r="C14" s="17" t="n">
        <v>13</v>
      </c>
      <c r="D14" s="19" t="s">
        <v>106</v>
      </c>
      <c r="E14" s="17" t="s">
        <v>97</v>
      </c>
      <c r="F14" s="16" t="s">
        <v>117</v>
      </c>
    </row>
    <row r="15" customFormat="false" ht="25.5" hidden="false" customHeight="true" outlineLevel="0" collapsed="false">
      <c r="A15" s="16" t="s">
        <v>118</v>
      </c>
      <c r="B15" s="17" t="s">
        <v>95</v>
      </c>
      <c r="C15" s="17" t="n">
        <v>9</v>
      </c>
      <c r="D15" s="20" t="s">
        <v>111</v>
      </c>
      <c r="E15" s="17" t="s">
        <v>112</v>
      </c>
      <c r="F15" s="16" t="s">
        <v>119</v>
      </c>
    </row>
    <row r="16" customFormat="false" ht="25.5" hidden="false" customHeight="true" outlineLevel="0" collapsed="false">
      <c r="A16" s="16" t="s">
        <v>120</v>
      </c>
      <c r="B16" s="17" t="s">
        <v>95</v>
      </c>
      <c r="C16" s="17" t="n">
        <v>11</v>
      </c>
      <c r="D16" s="19" t="s">
        <v>106</v>
      </c>
      <c r="E16" s="17" t="s">
        <v>97</v>
      </c>
      <c r="F16" s="16" t="s">
        <v>121</v>
      </c>
    </row>
    <row r="17" customFormat="false" ht="25.5" hidden="false" customHeight="true" outlineLevel="0" collapsed="false">
      <c r="A17" s="16" t="s">
        <v>122</v>
      </c>
      <c r="B17" s="17" t="s">
        <v>95</v>
      </c>
      <c r="C17" s="17" t="n">
        <v>9</v>
      </c>
      <c r="D17" s="20" t="s">
        <v>111</v>
      </c>
      <c r="E17" s="17" t="s">
        <v>112</v>
      </c>
      <c r="F17" s="16" t="s">
        <v>123</v>
      </c>
    </row>
    <row r="18" customFormat="false" ht="25.5" hidden="false" customHeight="true" outlineLevel="0" collapsed="false">
      <c r="A18" s="16" t="s">
        <v>124</v>
      </c>
      <c r="B18" s="17" t="s">
        <v>95</v>
      </c>
      <c r="C18" s="17" t="n">
        <v>11</v>
      </c>
      <c r="D18" s="20" t="s">
        <v>111</v>
      </c>
      <c r="E18" s="17" t="s">
        <v>112</v>
      </c>
      <c r="F18" s="16" t="s">
        <v>125</v>
      </c>
    </row>
    <row r="19" customFormat="false" ht="25.5" hidden="false" customHeight="true" outlineLevel="0" collapsed="false">
      <c r="A19" s="16" t="s">
        <v>126</v>
      </c>
      <c r="B19" s="17" t="s">
        <v>95</v>
      </c>
      <c r="C19" s="17" t="n">
        <v>7</v>
      </c>
      <c r="D19" s="20" t="s">
        <v>111</v>
      </c>
      <c r="E19" s="17" t="s">
        <v>112</v>
      </c>
      <c r="F19" s="16" t="s">
        <v>127</v>
      </c>
    </row>
    <row r="20" customFormat="false" ht="25.5" hidden="false" customHeight="true" outlineLevel="0" collapsed="false">
      <c r="A20" s="16" t="s">
        <v>128</v>
      </c>
      <c r="B20" s="17" t="s">
        <v>95</v>
      </c>
      <c r="C20" s="17" t="n">
        <v>9</v>
      </c>
      <c r="D20" s="19" t="s">
        <v>96</v>
      </c>
      <c r="E20" s="17" t="s">
        <v>97</v>
      </c>
      <c r="F20" s="16" t="s">
        <v>129</v>
      </c>
    </row>
    <row r="21" customFormat="false" ht="25.5" hidden="false" customHeight="true" outlineLevel="0" collapsed="false">
      <c r="A21" s="16" t="s">
        <v>130</v>
      </c>
      <c r="B21" s="17" t="s">
        <v>95</v>
      </c>
      <c r="C21" s="17" t="n">
        <v>13</v>
      </c>
      <c r="D21" s="19" t="s">
        <v>96</v>
      </c>
      <c r="E21" s="17" t="s">
        <v>97</v>
      </c>
      <c r="F21" s="16" t="s">
        <v>131</v>
      </c>
    </row>
    <row r="22" customFormat="false" ht="25.5" hidden="false" customHeight="true" outlineLevel="0" collapsed="false">
      <c r="A22" s="16" t="s">
        <v>132</v>
      </c>
      <c r="B22" s="17" t="s">
        <v>95</v>
      </c>
      <c r="C22" s="17" t="n">
        <v>9</v>
      </c>
      <c r="D22" s="19" t="s">
        <v>106</v>
      </c>
      <c r="E22" s="17" t="s">
        <v>97</v>
      </c>
      <c r="F22" s="16" t="s">
        <v>133</v>
      </c>
    </row>
    <row r="23" customFormat="false" ht="25.5" hidden="false" customHeight="true" outlineLevel="0" collapsed="false">
      <c r="A23" s="16" t="s">
        <v>134</v>
      </c>
      <c r="B23" s="17" t="s">
        <v>95</v>
      </c>
      <c r="C23" s="17" t="n">
        <v>9</v>
      </c>
      <c r="D23" s="21" t="s">
        <v>135</v>
      </c>
      <c r="E23" s="17" t="s">
        <v>136</v>
      </c>
      <c r="F23" s="16" t="s">
        <v>137</v>
      </c>
    </row>
    <row r="24" customFormat="false" ht="25.5" hidden="false" customHeight="true" outlineLevel="0" collapsed="false">
      <c r="A24" s="16" t="s">
        <v>138</v>
      </c>
      <c r="B24" s="17" t="s">
        <v>95</v>
      </c>
      <c r="C24" s="17" t="n">
        <v>9</v>
      </c>
      <c r="D24" s="21" t="s">
        <v>135</v>
      </c>
      <c r="E24" s="17" t="s">
        <v>136</v>
      </c>
      <c r="F24" s="16" t="s">
        <v>139</v>
      </c>
    </row>
    <row r="25" customFormat="false" ht="25.5" hidden="false" customHeight="true" outlineLevel="0" collapsed="false">
      <c r="A25" s="16" t="s">
        <v>140</v>
      </c>
      <c r="B25" s="17" t="s">
        <v>95</v>
      </c>
      <c r="C25" s="17" t="n">
        <v>9</v>
      </c>
      <c r="D25" s="20" t="s">
        <v>111</v>
      </c>
      <c r="E25" s="17" t="s">
        <v>112</v>
      </c>
      <c r="F25" s="16" t="s">
        <v>141</v>
      </c>
    </row>
    <row r="26" customFormat="false" ht="25.5" hidden="false" customHeight="true" outlineLevel="0" collapsed="false">
      <c r="A26" s="16" t="s">
        <v>142</v>
      </c>
      <c r="B26" s="17" t="s">
        <v>95</v>
      </c>
      <c r="C26" s="17" t="n">
        <v>9</v>
      </c>
      <c r="D26" s="18" t="s">
        <v>91</v>
      </c>
      <c r="E26" s="17" t="s">
        <v>97</v>
      </c>
      <c r="F26" s="16" t="s">
        <v>143</v>
      </c>
    </row>
    <row r="27" customFormat="false" ht="25.5" hidden="false" customHeight="true" outlineLevel="0" collapsed="false">
      <c r="A27" s="16" t="s">
        <v>144</v>
      </c>
      <c r="B27" s="17" t="s">
        <v>95</v>
      </c>
      <c r="C27" s="17" t="n">
        <v>9</v>
      </c>
      <c r="D27" s="21" t="s">
        <v>135</v>
      </c>
      <c r="E27" s="17" t="s">
        <v>136</v>
      </c>
      <c r="F27" s="16" t="s">
        <v>145</v>
      </c>
    </row>
    <row r="28" customFormat="false" ht="25.5" hidden="false" customHeight="true" outlineLevel="0" collapsed="false">
      <c r="A28" s="16" t="s">
        <v>146</v>
      </c>
      <c r="B28" s="17" t="s">
        <v>147</v>
      </c>
      <c r="C28" s="17" t="n">
        <v>34</v>
      </c>
      <c r="D28" s="20" t="s">
        <v>111</v>
      </c>
      <c r="E28" s="17" t="s">
        <v>112</v>
      </c>
      <c r="F28" s="16" t="s">
        <v>148</v>
      </c>
    </row>
    <row r="29" customFormat="false" ht="25.5" hidden="false" customHeight="true" outlineLevel="0" collapsed="false">
      <c r="A29" s="16" t="s">
        <v>149</v>
      </c>
      <c r="B29" s="17" t="s">
        <v>95</v>
      </c>
      <c r="C29" s="17" t="n">
        <v>5</v>
      </c>
      <c r="D29" s="19" t="s">
        <v>106</v>
      </c>
      <c r="E29" s="17" t="s">
        <v>97</v>
      </c>
      <c r="F29" s="16" t="s">
        <v>150</v>
      </c>
    </row>
    <row r="30" customFormat="false" ht="25.5" hidden="false" customHeight="true" outlineLevel="0" collapsed="false">
      <c r="A30" s="16" t="s">
        <v>151</v>
      </c>
      <c r="B30" s="17" t="s">
        <v>95</v>
      </c>
      <c r="C30" s="17" t="n">
        <v>11</v>
      </c>
      <c r="D30" s="21" t="s">
        <v>135</v>
      </c>
      <c r="E30" s="17" t="s">
        <v>136</v>
      </c>
      <c r="F30" s="16" t="s">
        <v>152</v>
      </c>
    </row>
    <row r="31" customFormat="false" ht="25.5" hidden="false" customHeight="true" outlineLevel="0" collapsed="false">
      <c r="A31" s="16" t="s">
        <v>153</v>
      </c>
      <c r="B31" s="17" t="s">
        <v>95</v>
      </c>
      <c r="C31" s="17" t="n">
        <v>11</v>
      </c>
      <c r="D31" s="21" t="s">
        <v>135</v>
      </c>
      <c r="E31" s="17" t="s">
        <v>136</v>
      </c>
      <c r="F31" s="16" t="s">
        <v>154</v>
      </c>
    </row>
    <row r="32" customFormat="false" ht="25.5" hidden="false" customHeight="true" outlineLevel="0" collapsed="false">
      <c r="A32" s="16" t="s">
        <v>155</v>
      </c>
      <c r="B32" s="17" t="s">
        <v>95</v>
      </c>
      <c r="C32" s="17" t="n">
        <v>11</v>
      </c>
      <c r="D32" s="21" t="s">
        <v>135</v>
      </c>
      <c r="E32" s="17" t="s">
        <v>156</v>
      </c>
      <c r="F32" s="16" t="s">
        <v>157</v>
      </c>
    </row>
    <row r="33" customFormat="false" ht="25.5" hidden="false" customHeight="true" outlineLevel="0" collapsed="false">
      <c r="A33" s="16" t="s">
        <v>158</v>
      </c>
      <c r="B33" s="17" t="s">
        <v>95</v>
      </c>
      <c r="C33" s="17" t="n">
        <v>11</v>
      </c>
      <c r="D33" s="21" t="s">
        <v>135</v>
      </c>
      <c r="E33" s="17" t="s">
        <v>156</v>
      </c>
      <c r="F33" s="16" t="s">
        <v>159</v>
      </c>
    </row>
    <row r="34" customFormat="false" ht="25.5" hidden="false" customHeight="true" outlineLevel="0" collapsed="false">
      <c r="A34" s="16" t="s">
        <v>160</v>
      </c>
      <c r="B34" s="17" t="s">
        <v>95</v>
      </c>
      <c r="C34" s="17" t="n">
        <v>11</v>
      </c>
      <c r="D34" s="21" t="s">
        <v>135</v>
      </c>
      <c r="E34" s="17" t="s">
        <v>161</v>
      </c>
      <c r="F34" s="16" t="s">
        <v>162</v>
      </c>
    </row>
    <row r="35" customFormat="false" ht="25.5" hidden="false" customHeight="true" outlineLevel="0" collapsed="false">
      <c r="A35" s="16" t="s">
        <v>163</v>
      </c>
      <c r="B35" s="17" t="s">
        <v>95</v>
      </c>
      <c r="C35" s="17" t="n">
        <v>11</v>
      </c>
      <c r="D35" s="21" t="s">
        <v>135</v>
      </c>
      <c r="E35" s="17" t="s">
        <v>161</v>
      </c>
      <c r="F35" s="16" t="s">
        <v>164</v>
      </c>
    </row>
    <row r="36" customFormat="false" ht="25.5" hidden="false" customHeight="true" outlineLevel="0" collapsed="false">
      <c r="A36" s="16" t="s">
        <v>165</v>
      </c>
      <c r="B36" s="17" t="s">
        <v>95</v>
      </c>
      <c r="C36" s="17" t="n">
        <v>11</v>
      </c>
      <c r="D36" s="21" t="s">
        <v>166</v>
      </c>
      <c r="E36" s="17" t="s">
        <v>167</v>
      </c>
      <c r="F36" s="16" t="s">
        <v>168</v>
      </c>
    </row>
    <row r="37" customFormat="false" ht="25.5" hidden="false" customHeight="true" outlineLevel="0" collapsed="false">
      <c r="A37" s="16" t="s">
        <v>169</v>
      </c>
      <c r="B37" s="17" t="s">
        <v>95</v>
      </c>
      <c r="C37" s="17" t="n">
        <v>11</v>
      </c>
      <c r="D37" s="19" t="s">
        <v>106</v>
      </c>
      <c r="E37" s="17" t="s">
        <v>97</v>
      </c>
      <c r="F37" s="16" t="s">
        <v>170</v>
      </c>
    </row>
    <row r="38" customFormat="false" ht="25.5" hidden="false" customHeight="true" outlineLevel="0" collapsed="false">
      <c r="A38" s="16" t="s">
        <v>171</v>
      </c>
      <c r="B38" s="17" t="s">
        <v>95</v>
      </c>
      <c r="C38" s="17" t="n">
        <v>13</v>
      </c>
      <c r="D38" s="19" t="s">
        <v>106</v>
      </c>
      <c r="E38" s="17" t="s">
        <v>97</v>
      </c>
      <c r="F38" s="16" t="s">
        <v>172</v>
      </c>
    </row>
    <row r="39" customFormat="false" ht="36" hidden="false" customHeight="true" outlineLevel="0" collapsed="false">
      <c r="A39" s="16" t="s">
        <v>173</v>
      </c>
      <c r="B39" s="17" t="s">
        <v>95</v>
      </c>
      <c r="C39" s="17" t="n">
        <v>13</v>
      </c>
      <c r="D39" s="18" t="s">
        <v>174</v>
      </c>
      <c r="E39" s="17" t="s">
        <v>97</v>
      </c>
      <c r="F39" s="16" t="s">
        <v>175</v>
      </c>
    </row>
    <row r="40" customFormat="false" ht="25.5" hidden="false" customHeight="true" outlineLevel="0" collapsed="false">
      <c r="A40" s="16" t="s">
        <v>176</v>
      </c>
      <c r="B40" s="17" t="s">
        <v>95</v>
      </c>
      <c r="C40" s="17" t="n">
        <v>13</v>
      </c>
      <c r="D40" s="19" t="s">
        <v>106</v>
      </c>
      <c r="E40" s="17" t="s">
        <v>97</v>
      </c>
      <c r="F40" s="16" t="s">
        <v>177</v>
      </c>
    </row>
    <row r="41" customFormat="false" ht="25.5" hidden="false" customHeight="true" outlineLevel="0" collapsed="false">
      <c r="A41" s="16" t="s">
        <v>178</v>
      </c>
      <c r="B41" s="17" t="s">
        <v>95</v>
      </c>
      <c r="C41" s="17" t="n">
        <v>15</v>
      </c>
      <c r="D41" s="19" t="s">
        <v>106</v>
      </c>
      <c r="E41" s="17" t="s">
        <v>97</v>
      </c>
      <c r="F41" s="16" t="s">
        <v>179</v>
      </c>
    </row>
    <row r="42" customFormat="false" ht="25.5" hidden="false" customHeight="true" outlineLevel="0" collapsed="false">
      <c r="A42" s="16" t="s">
        <v>180</v>
      </c>
      <c r="B42" s="17" t="s">
        <v>95</v>
      </c>
      <c r="C42" s="17" t="n">
        <v>11</v>
      </c>
      <c r="D42" s="19" t="s">
        <v>106</v>
      </c>
      <c r="E42" s="17" t="s">
        <v>97</v>
      </c>
      <c r="F42" s="16" t="s">
        <v>181</v>
      </c>
    </row>
    <row r="43" customFormat="false" ht="25.5" hidden="false" customHeight="true" outlineLevel="0" collapsed="false">
      <c r="A43" s="16" t="s">
        <v>182</v>
      </c>
      <c r="B43" s="17" t="s">
        <v>95</v>
      </c>
      <c r="C43" s="17" t="n">
        <v>5</v>
      </c>
      <c r="D43" s="19" t="s">
        <v>96</v>
      </c>
      <c r="E43" s="17" t="s">
        <v>97</v>
      </c>
      <c r="F43" s="16" t="s">
        <v>183</v>
      </c>
    </row>
    <row r="44" customFormat="false" ht="25.5" hidden="false" customHeight="true" outlineLevel="0" collapsed="false">
      <c r="A44" s="16" t="s">
        <v>184</v>
      </c>
      <c r="B44" s="17" t="s">
        <v>185</v>
      </c>
      <c r="C44" s="17" t="n">
        <v>84</v>
      </c>
      <c r="D44" s="18" t="s">
        <v>174</v>
      </c>
      <c r="E44" s="17" t="s">
        <v>97</v>
      </c>
      <c r="F44" s="16" t="s">
        <v>186</v>
      </c>
    </row>
    <row r="45" customFormat="false" ht="25.5" hidden="false" customHeight="true" outlineLevel="0" collapsed="false">
      <c r="A45" s="16" t="s">
        <v>187</v>
      </c>
      <c r="B45" s="17" t="s">
        <v>188</v>
      </c>
      <c r="C45" s="17" t="n">
        <v>7</v>
      </c>
      <c r="D45" s="20" t="s">
        <v>111</v>
      </c>
      <c r="E45" s="17" t="s">
        <v>112</v>
      </c>
      <c r="F45" s="16" t="s">
        <v>189</v>
      </c>
    </row>
    <row r="46" customFormat="false" ht="25.5" hidden="false" customHeight="true" outlineLevel="0" collapsed="false">
      <c r="A46" s="16" t="s">
        <v>190</v>
      </c>
      <c r="B46" s="17" t="s">
        <v>188</v>
      </c>
      <c r="C46" s="17" t="n">
        <v>9</v>
      </c>
      <c r="D46" s="20" t="s">
        <v>111</v>
      </c>
      <c r="E46" s="17" t="s">
        <v>112</v>
      </c>
      <c r="F46" s="16" t="s">
        <v>191</v>
      </c>
    </row>
    <row r="47" customFormat="false" ht="25.5" hidden="false" customHeight="true" outlineLevel="0" collapsed="false">
      <c r="A47" s="16" t="s">
        <v>192</v>
      </c>
      <c r="B47" s="17" t="s">
        <v>188</v>
      </c>
      <c r="C47" s="17" t="n">
        <v>7</v>
      </c>
      <c r="D47" s="21" t="s">
        <v>135</v>
      </c>
      <c r="E47" s="17" t="s">
        <v>193</v>
      </c>
      <c r="F47" s="16" t="s">
        <v>194</v>
      </c>
    </row>
    <row r="48" customFormat="false" ht="25.5" hidden="false" customHeight="true" outlineLevel="0" collapsed="false">
      <c r="A48" s="16" t="s">
        <v>195</v>
      </c>
      <c r="B48" s="17" t="s">
        <v>188</v>
      </c>
      <c r="C48" s="17" t="n">
        <v>5</v>
      </c>
      <c r="D48" s="21" t="s">
        <v>135</v>
      </c>
      <c r="E48" s="17" t="s">
        <v>161</v>
      </c>
      <c r="F48" s="16"/>
    </row>
    <row r="49" customFormat="false" ht="25.5" hidden="false" customHeight="true" outlineLevel="0" collapsed="false">
      <c r="A49" s="16" t="s">
        <v>196</v>
      </c>
      <c r="B49" s="17" t="s">
        <v>188</v>
      </c>
      <c r="C49" s="17" t="n">
        <v>7</v>
      </c>
      <c r="D49" s="21" t="s">
        <v>135</v>
      </c>
      <c r="E49" s="17" t="s">
        <v>193</v>
      </c>
      <c r="F49" s="16" t="s">
        <v>197</v>
      </c>
    </row>
    <row r="50" customFormat="false" ht="25.5" hidden="false" customHeight="true" outlineLevel="0" collapsed="false">
      <c r="A50" s="16" t="s">
        <v>198</v>
      </c>
      <c r="B50" s="17" t="s">
        <v>188</v>
      </c>
      <c r="C50" s="17" t="n">
        <v>7</v>
      </c>
      <c r="D50" s="21" t="s">
        <v>135</v>
      </c>
      <c r="E50" s="17" t="s">
        <v>193</v>
      </c>
      <c r="F50" s="16"/>
    </row>
    <row r="51" customFormat="false" ht="25.5" hidden="false" customHeight="true" outlineLevel="0" collapsed="false">
      <c r="A51" s="16" t="s">
        <v>199</v>
      </c>
      <c r="B51" s="17" t="s">
        <v>188</v>
      </c>
      <c r="C51" s="17" t="n">
        <v>9</v>
      </c>
      <c r="D51" s="20" t="s">
        <v>111</v>
      </c>
      <c r="E51" s="17" t="s">
        <v>112</v>
      </c>
      <c r="F51" s="16" t="s">
        <v>200</v>
      </c>
    </row>
    <row r="52" customFormat="false" ht="25.5" hidden="false" customHeight="true" outlineLevel="0" collapsed="false">
      <c r="A52" s="16" t="s">
        <v>201</v>
      </c>
      <c r="B52" s="17" t="s">
        <v>188</v>
      </c>
      <c r="C52" s="17" t="n">
        <v>9</v>
      </c>
      <c r="D52" s="20" t="s">
        <v>111</v>
      </c>
      <c r="E52" s="17" t="s">
        <v>112</v>
      </c>
      <c r="F52" s="16" t="s">
        <v>200</v>
      </c>
    </row>
    <row r="53" customFormat="false" ht="25.5" hidden="false" customHeight="true" outlineLevel="0" collapsed="false">
      <c r="A53" s="16" t="s">
        <v>202</v>
      </c>
      <c r="B53" s="17" t="s">
        <v>203</v>
      </c>
      <c r="C53" s="17" t="n">
        <v>9</v>
      </c>
      <c r="D53" s="21" t="s">
        <v>166</v>
      </c>
      <c r="E53" s="17" t="s">
        <v>167</v>
      </c>
      <c r="F53" s="16" t="s">
        <v>204</v>
      </c>
    </row>
    <row r="54" customFormat="false" ht="25.5" hidden="false" customHeight="true" outlineLevel="0" collapsed="false">
      <c r="A54" s="16" t="s">
        <v>205</v>
      </c>
      <c r="B54" s="17" t="s">
        <v>203</v>
      </c>
      <c r="C54" s="17" t="n">
        <v>9</v>
      </c>
      <c r="D54" s="20" t="s">
        <v>111</v>
      </c>
      <c r="E54" s="17" t="s">
        <v>112</v>
      </c>
      <c r="F54" s="16" t="s">
        <v>206</v>
      </c>
    </row>
    <row r="55" customFormat="false" ht="25.5" hidden="false" customHeight="true" outlineLevel="0" collapsed="false">
      <c r="A55" s="16" t="s">
        <v>207</v>
      </c>
      <c r="B55" s="17" t="s">
        <v>203</v>
      </c>
      <c r="C55" s="17" t="n">
        <v>7</v>
      </c>
      <c r="D55" s="21" t="s">
        <v>135</v>
      </c>
      <c r="E55" s="17" t="s">
        <v>161</v>
      </c>
      <c r="F55" s="16"/>
    </row>
    <row r="56" customFormat="false" ht="25.5" hidden="false" customHeight="true" outlineLevel="0" collapsed="false">
      <c r="A56" s="16" t="s">
        <v>208</v>
      </c>
      <c r="B56" s="17" t="s">
        <v>203</v>
      </c>
      <c r="C56" s="17" t="n">
        <v>9</v>
      </c>
      <c r="D56" s="21" t="s">
        <v>135</v>
      </c>
      <c r="E56" s="17" t="s">
        <v>193</v>
      </c>
      <c r="F56" s="16" t="s">
        <v>209</v>
      </c>
    </row>
    <row r="57" customFormat="false" ht="25.5" hidden="false" customHeight="true" outlineLevel="0" collapsed="false">
      <c r="A57" s="16" t="s">
        <v>210</v>
      </c>
      <c r="B57" s="17" t="s">
        <v>203</v>
      </c>
      <c r="C57" s="17" t="n">
        <v>7</v>
      </c>
      <c r="D57" s="18" t="s">
        <v>91</v>
      </c>
      <c r="E57" s="17" t="s">
        <v>97</v>
      </c>
      <c r="F57" s="16" t="s">
        <v>211</v>
      </c>
    </row>
    <row r="58" customFormat="false" ht="25.5" hidden="false" customHeight="true" outlineLevel="0" collapsed="false">
      <c r="A58" s="16" t="s">
        <v>212</v>
      </c>
      <c r="B58" s="17" t="s">
        <v>203</v>
      </c>
      <c r="C58" s="17" t="n">
        <v>9</v>
      </c>
      <c r="D58" s="21" t="s">
        <v>166</v>
      </c>
      <c r="E58" s="17" t="s">
        <v>161</v>
      </c>
      <c r="F58" s="16" t="s">
        <v>213</v>
      </c>
    </row>
    <row r="59" customFormat="false" ht="25.5" hidden="false" customHeight="true" outlineLevel="0" collapsed="false">
      <c r="A59" s="16" t="s">
        <v>214</v>
      </c>
      <c r="B59" s="17" t="s">
        <v>203</v>
      </c>
      <c r="C59" s="17" t="n">
        <v>7</v>
      </c>
      <c r="D59" s="18" t="s">
        <v>91</v>
      </c>
      <c r="E59" s="17" t="s">
        <v>97</v>
      </c>
      <c r="F59" s="16" t="s">
        <v>215</v>
      </c>
    </row>
    <row r="60" customFormat="false" ht="25.5" hidden="false" customHeight="true" outlineLevel="0" collapsed="false">
      <c r="A60" s="16" t="s">
        <v>216</v>
      </c>
      <c r="B60" s="17" t="s">
        <v>217</v>
      </c>
      <c r="C60" s="17" t="n">
        <v>9</v>
      </c>
      <c r="D60" s="18" t="s">
        <v>91</v>
      </c>
      <c r="E60" s="17" t="s">
        <v>97</v>
      </c>
      <c r="F60" s="16" t="s">
        <v>218</v>
      </c>
    </row>
    <row r="61" customFormat="false" ht="25.5" hidden="false" customHeight="true" outlineLevel="0" collapsed="false">
      <c r="A61" s="16" t="s">
        <v>219</v>
      </c>
      <c r="B61" s="17" t="s">
        <v>217</v>
      </c>
      <c r="C61" s="17" t="n">
        <v>11</v>
      </c>
      <c r="D61" s="19" t="s">
        <v>106</v>
      </c>
      <c r="E61" s="17" t="s">
        <v>97</v>
      </c>
      <c r="F61" s="16" t="s">
        <v>220</v>
      </c>
    </row>
    <row r="62" customFormat="false" ht="25.5" hidden="false" customHeight="true" outlineLevel="0" collapsed="false">
      <c r="A62" s="16" t="s">
        <v>221</v>
      </c>
      <c r="B62" s="17" t="s">
        <v>217</v>
      </c>
      <c r="C62" s="17" t="n">
        <v>9</v>
      </c>
      <c r="D62" s="18" t="s">
        <v>91</v>
      </c>
      <c r="E62" s="17" t="s">
        <v>97</v>
      </c>
      <c r="F62" s="16" t="s">
        <v>222</v>
      </c>
    </row>
    <row r="63" customFormat="false" ht="25.5" hidden="false" customHeight="true" outlineLevel="0" collapsed="false">
      <c r="A63" s="16" t="s">
        <v>223</v>
      </c>
      <c r="B63" s="17" t="s">
        <v>217</v>
      </c>
      <c r="C63" s="17" t="n">
        <v>9</v>
      </c>
      <c r="D63" s="18" t="s">
        <v>91</v>
      </c>
      <c r="E63" s="17" t="s">
        <v>97</v>
      </c>
      <c r="F63" s="16" t="s">
        <v>224</v>
      </c>
    </row>
    <row r="64" customFormat="false" ht="25.5" hidden="false" customHeight="true" outlineLevel="0" collapsed="false">
      <c r="A64" s="16" t="s">
        <v>225</v>
      </c>
      <c r="B64" s="17" t="s">
        <v>217</v>
      </c>
      <c r="C64" s="17" t="n">
        <v>9</v>
      </c>
      <c r="D64" s="21" t="s">
        <v>135</v>
      </c>
      <c r="E64" s="17" t="s">
        <v>156</v>
      </c>
      <c r="F64" s="16" t="s">
        <v>226</v>
      </c>
    </row>
    <row r="65" customFormat="false" ht="25.5" hidden="false" customHeight="true" outlineLevel="0" collapsed="false">
      <c r="A65" s="16" t="s">
        <v>227</v>
      </c>
      <c r="B65" s="17" t="s">
        <v>217</v>
      </c>
      <c r="C65" s="17" t="n">
        <v>7</v>
      </c>
      <c r="D65" s="20" t="s">
        <v>111</v>
      </c>
      <c r="E65" s="17" t="s">
        <v>112</v>
      </c>
      <c r="F65" s="16" t="s">
        <v>189</v>
      </c>
    </row>
    <row r="66" customFormat="false" ht="25.5" hidden="false" customHeight="true" outlineLevel="0" collapsed="false">
      <c r="A66" s="16" t="s">
        <v>228</v>
      </c>
      <c r="B66" s="17" t="s">
        <v>229</v>
      </c>
      <c r="C66" s="17" t="n">
        <v>56</v>
      </c>
      <c r="D66" s="21" t="s">
        <v>135</v>
      </c>
      <c r="E66" s="17" t="s">
        <v>230</v>
      </c>
      <c r="F66" s="16" t="s">
        <v>231</v>
      </c>
    </row>
    <row r="67" customFormat="false" ht="25.5" hidden="false" customHeight="true" outlineLevel="0" collapsed="false">
      <c r="A67" s="16" t="s">
        <v>232</v>
      </c>
      <c r="B67" s="17" t="s">
        <v>233</v>
      </c>
      <c r="C67" s="17" t="n">
        <v>102</v>
      </c>
      <c r="D67" s="21" t="s">
        <v>135</v>
      </c>
      <c r="E67" s="17" t="s">
        <v>234</v>
      </c>
      <c r="F67" s="16" t="s">
        <v>235</v>
      </c>
    </row>
    <row r="68" customFormat="false" ht="25.5" hidden="false" customHeight="true" outlineLevel="0" collapsed="false">
      <c r="A68" s="16" t="s">
        <v>236</v>
      </c>
      <c r="B68" s="17" t="s">
        <v>237</v>
      </c>
      <c r="C68" s="17" t="n">
        <v>142</v>
      </c>
      <c r="D68" s="19" t="s">
        <v>96</v>
      </c>
      <c r="E68" s="17" t="s">
        <v>238</v>
      </c>
      <c r="F68" s="16" t="s">
        <v>239</v>
      </c>
    </row>
    <row r="69" customFormat="false" ht="25.5" hidden="false" customHeight="true" outlineLevel="0" collapsed="false">
      <c r="A69" s="16" t="s">
        <v>240</v>
      </c>
      <c r="B69" s="17" t="s">
        <v>241</v>
      </c>
      <c r="C69" s="17"/>
      <c r="D69" s="20" t="s">
        <v>111</v>
      </c>
      <c r="E69" s="17" t="s">
        <v>112</v>
      </c>
      <c r="F69" s="16" t="s">
        <v>242</v>
      </c>
    </row>
    <row r="70" customFormat="false" ht="25.5" hidden="false" customHeight="true" outlineLevel="0" collapsed="false">
      <c r="A70" s="16" t="s">
        <v>243</v>
      </c>
      <c r="B70" s="17" t="s">
        <v>241</v>
      </c>
      <c r="C70" s="17"/>
      <c r="D70" s="20" t="s">
        <v>111</v>
      </c>
      <c r="E70" s="17" t="s">
        <v>112</v>
      </c>
      <c r="F70" s="16" t="s">
        <v>244</v>
      </c>
    </row>
    <row r="72" customFormat="false" ht="15" hidden="false" customHeight="true" outlineLevel="0" collapsed="false">
      <c r="A72" s="4" t="s">
        <v>245</v>
      </c>
      <c r="B72" s="5"/>
      <c r="C72" s="5"/>
      <c r="D72" s="5"/>
      <c r="E72" s="5"/>
      <c r="F72" s="5"/>
    </row>
    <row r="73" customFormat="false" ht="48" hidden="false" customHeight="true" outlineLevel="0" collapsed="false">
      <c r="A73" s="22" t="s">
        <v>246</v>
      </c>
      <c r="B73" s="23"/>
      <c r="C73" s="23"/>
      <c r="D73" s="18" t="s">
        <v>247</v>
      </c>
      <c r="E73" s="17" t="s">
        <v>97</v>
      </c>
      <c r="F73" s="16" t="s">
        <v>248</v>
      </c>
    </row>
    <row r="74" customFormat="false" ht="25.5" hidden="false" customHeight="true" outlineLevel="0" collapsed="false">
      <c r="A74" s="22" t="s">
        <v>249</v>
      </c>
      <c r="B74" s="23"/>
      <c r="C74" s="23"/>
      <c r="D74" s="18" t="s">
        <v>247</v>
      </c>
      <c r="E74" s="17" t="s">
        <v>97</v>
      </c>
      <c r="F74" s="16" t="s">
        <v>250</v>
      </c>
    </row>
    <row r="75" customFormat="false" ht="25.5" hidden="false" customHeight="true" outlineLevel="0" collapsed="false">
      <c r="A75" s="22" t="s">
        <v>251</v>
      </c>
      <c r="B75" s="23"/>
      <c r="C75" s="23"/>
      <c r="D75" s="18" t="s">
        <v>247</v>
      </c>
      <c r="E75" s="17" t="s">
        <v>97</v>
      </c>
      <c r="F75" s="16" t="s">
        <v>252</v>
      </c>
    </row>
    <row r="76" customFormat="false" ht="36" hidden="false" customHeight="true" outlineLevel="0" collapsed="false">
      <c r="A76" s="22" t="s">
        <v>253</v>
      </c>
      <c r="B76" s="23"/>
      <c r="C76" s="23"/>
      <c r="D76" s="18" t="s">
        <v>247</v>
      </c>
      <c r="E76" s="17" t="s">
        <v>97</v>
      </c>
      <c r="F76" s="16" t="s">
        <v>254</v>
      </c>
    </row>
    <row r="77" customFormat="false" ht="36" hidden="false" customHeight="true" outlineLevel="0" collapsed="false">
      <c r="A77" s="22" t="s">
        <v>255</v>
      </c>
      <c r="B77" s="23"/>
      <c r="C77" s="23"/>
      <c r="D77" s="18" t="s">
        <v>247</v>
      </c>
      <c r="E77" s="17" t="s">
        <v>97</v>
      </c>
      <c r="F77" s="16" t="s">
        <v>256</v>
      </c>
    </row>
    <row r="78" customFormat="false" ht="25.5" hidden="false" customHeight="true" outlineLevel="0" collapsed="false">
      <c r="A78" s="22" t="s">
        <v>257</v>
      </c>
      <c r="B78" s="23"/>
      <c r="C78" s="23"/>
      <c r="D78" s="18" t="s">
        <v>247</v>
      </c>
      <c r="E78" s="17" t="s">
        <v>97</v>
      </c>
      <c r="F78" s="16" t="s">
        <v>258</v>
      </c>
    </row>
    <row r="79" customFormat="false" ht="25.5" hidden="false" customHeight="true" outlineLevel="0" collapsed="false">
      <c r="A79" s="22" t="s">
        <v>259</v>
      </c>
      <c r="B79" s="23"/>
      <c r="C79" s="23"/>
      <c r="D79" s="18" t="s">
        <v>247</v>
      </c>
      <c r="E79" s="17" t="s">
        <v>97</v>
      </c>
      <c r="F79" s="16" t="s">
        <v>260</v>
      </c>
    </row>
    <row r="80" customFormat="false" ht="25.5" hidden="false" customHeight="true" outlineLevel="0" collapsed="false">
      <c r="A80" s="22" t="s">
        <v>261</v>
      </c>
      <c r="B80" s="23"/>
      <c r="C80" s="23"/>
      <c r="D80" s="18" t="s">
        <v>247</v>
      </c>
      <c r="E80" s="17" t="s">
        <v>97</v>
      </c>
      <c r="F80" s="16" t="s">
        <v>262</v>
      </c>
    </row>
    <row r="81" customFormat="false" ht="25.5" hidden="false" customHeight="true" outlineLevel="0" collapsed="false">
      <c r="A81" s="22" t="s">
        <v>263</v>
      </c>
      <c r="B81" s="23"/>
      <c r="C81" s="23"/>
      <c r="D81" s="18" t="s">
        <v>247</v>
      </c>
      <c r="E81" s="17" t="s">
        <v>97</v>
      </c>
      <c r="F81" s="16" t="s">
        <v>264</v>
      </c>
    </row>
    <row r="82" customFormat="false" ht="25.5" hidden="false" customHeight="true" outlineLevel="0" collapsed="false">
      <c r="A82" s="22" t="s">
        <v>265</v>
      </c>
      <c r="B82" s="23"/>
      <c r="C82" s="23"/>
      <c r="D82" s="18" t="s">
        <v>247</v>
      </c>
      <c r="E82" s="17" t="s">
        <v>97</v>
      </c>
      <c r="F82" s="16" t="s">
        <v>266</v>
      </c>
    </row>
    <row r="83" customFormat="false" ht="36" hidden="false" customHeight="true" outlineLevel="0" collapsed="false">
      <c r="A83" s="22" t="s">
        <v>267</v>
      </c>
      <c r="B83" s="23"/>
      <c r="C83" s="23"/>
      <c r="D83" s="18" t="s">
        <v>247</v>
      </c>
      <c r="E83" s="17" t="s">
        <v>97</v>
      </c>
      <c r="F83" s="16" t="s">
        <v>268</v>
      </c>
    </row>
    <row r="84" customFormat="false" ht="25.5" hidden="false" customHeight="true" outlineLevel="0" collapsed="false">
      <c r="A84" s="22" t="s">
        <v>269</v>
      </c>
      <c r="B84" s="23"/>
      <c r="C84" s="23"/>
      <c r="D84" s="18" t="s">
        <v>247</v>
      </c>
      <c r="E84" s="17" t="s">
        <v>97</v>
      </c>
      <c r="F84" s="16" t="s">
        <v>270</v>
      </c>
    </row>
    <row r="85" customFormat="false" ht="525" hidden="false" customHeight="true" outlineLevel="0" collapsed="false">
      <c r="A85" s="1" t="s">
        <v>271</v>
      </c>
      <c r="B85" s="1" t="s">
        <v>272</v>
      </c>
      <c r="C85" s="14" t="s">
        <v>273</v>
      </c>
    </row>
    <row r="86" customFormat="false" ht="659.25" hidden="false" customHeight="true" outlineLevel="0" collapsed="false">
      <c r="A86" s="1" t="s">
        <v>274</v>
      </c>
      <c r="B86" s="1" t="s">
        <v>275</v>
      </c>
      <c r="C86" s="14" t="s">
        <v>276</v>
      </c>
    </row>
    <row r="87" customFormat="false" ht="726" hidden="false" customHeight="true" outlineLevel="0" collapsed="false">
      <c r="A87" s="1" t="s">
        <v>277</v>
      </c>
      <c r="B87" s="1" t="s">
        <v>278</v>
      </c>
      <c r="C87" s="14" t="s">
        <v>279</v>
      </c>
    </row>
    <row r="88" customFormat="false" ht="686.25" hidden="false" customHeight="true" outlineLevel="0" collapsed="false">
      <c r="A88" s="1" t="s">
        <v>280</v>
      </c>
      <c r="B88" s="1" t="s">
        <v>281</v>
      </c>
      <c r="C88" s="14" t="s">
        <v>282</v>
      </c>
    </row>
    <row r="89" customFormat="false" ht="779.85" hidden="false" customHeight="false" outlineLevel="0" collapsed="false">
      <c r="A89" s="1" t="s">
        <v>283</v>
      </c>
      <c r="B89" s="1" t="s">
        <v>284</v>
      </c>
      <c r="C89" s="14" t="s">
        <v>285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56"/>
    <col collapsed="false" customWidth="true" hidden="false" outlineLevel="0" max="4" min="3" style="1" width="13"/>
    <col collapsed="false" customWidth="true" hidden="false" outlineLevel="0" max="6" min="5" style="1" width="14"/>
    <col collapsed="false" customWidth="true" hidden="false" outlineLevel="0" max="7" min="7" style="1" width="9"/>
    <col collapsed="false" customWidth="true" hidden="false" outlineLevel="0" max="8" min="8" style="1" width="62"/>
  </cols>
  <sheetData>
    <row r="1" customFormat="false" ht="17.25" hidden="false" customHeight="true" outlineLevel="0" collapsed="false">
      <c r="A1" s="2" t="s">
        <v>286</v>
      </c>
    </row>
    <row r="2" customFormat="false" ht="30" hidden="false" customHeight="true" outlineLevel="0" collapsed="false">
      <c r="A2" s="24" t="s">
        <v>287</v>
      </c>
    </row>
    <row r="4" customFormat="false" ht="30" hidden="false" customHeight="true" outlineLevel="0" collapsed="false">
      <c r="A4" s="25" t="s">
        <v>288</v>
      </c>
      <c r="B4" s="25" t="s">
        <v>289</v>
      </c>
      <c r="C4" s="25" t="s">
        <v>290</v>
      </c>
      <c r="D4" s="25" t="s">
        <v>291</v>
      </c>
      <c r="E4" s="25" t="s">
        <v>292</v>
      </c>
      <c r="F4" s="25" t="s">
        <v>293</v>
      </c>
      <c r="G4" s="25" t="s">
        <v>294</v>
      </c>
      <c r="H4" s="25" t="s">
        <v>295</v>
      </c>
    </row>
    <row r="5" customFormat="false" ht="24" hidden="false" customHeight="true" outlineLevel="0" collapsed="false">
      <c r="A5" s="21" t="s">
        <v>296</v>
      </c>
      <c r="B5" s="26" t="s">
        <v>297</v>
      </c>
      <c r="C5" s="27" t="n">
        <v>2.1</v>
      </c>
      <c r="D5" s="28" t="n">
        <v>0.9</v>
      </c>
      <c r="E5" s="29" t="n">
        <f aca="false">C5*Assumptions!$B$10</f>
        <v>77175</v>
      </c>
      <c r="F5" s="30" t="n">
        <f aca="false">D5*Assumptions!$B$10</f>
        <v>33075</v>
      </c>
      <c r="G5" s="31" t="s">
        <v>298</v>
      </c>
      <c r="H5" s="26" t="s">
        <v>299</v>
      </c>
    </row>
    <row r="6" customFormat="false" ht="24" hidden="false" customHeight="true" outlineLevel="0" collapsed="false">
      <c r="A6" s="21" t="s">
        <v>296</v>
      </c>
      <c r="B6" s="26" t="s">
        <v>300</v>
      </c>
      <c r="C6" s="27" t="n">
        <v>1.75</v>
      </c>
      <c r="D6" s="28" t="n">
        <v>0.75</v>
      </c>
      <c r="E6" s="29" t="n">
        <f aca="false">C6*Assumptions!$B$10</f>
        <v>64312.5</v>
      </c>
      <c r="F6" s="30" t="n">
        <f aca="false">D6*Assumptions!$B$10</f>
        <v>27562.5</v>
      </c>
      <c r="G6" s="31" t="s">
        <v>298</v>
      </c>
      <c r="H6" s="26" t="s">
        <v>301</v>
      </c>
    </row>
    <row r="7" customFormat="false" ht="24" hidden="false" customHeight="true" outlineLevel="0" collapsed="false">
      <c r="A7" s="21" t="s">
        <v>296</v>
      </c>
      <c r="B7" s="26" t="s">
        <v>302</v>
      </c>
      <c r="C7" s="27" t="n">
        <v>0.7</v>
      </c>
      <c r="D7" s="28" t="n">
        <v>0.3</v>
      </c>
      <c r="E7" s="29" t="n">
        <f aca="false">C7*Assumptions!$B$10</f>
        <v>25725</v>
      </c>
      <c r="F7" s="30" t="n">
        <f aca="false">D7*Assumptions!$B$10</f>
        <v>11025</v>
      </c>
      <c r="G7" s="31" t="s">
        <v>298</v>
      </c>
      <c r="H7" s="26" t="s">
        <v>303</v>
      </c>
    </row>
    <row r="8" customFormat="false" ht="24" hidden="false" customHeight="true" outlineLevel="0" collapsed="false">
      <c r="A8" s="21" t="s">
        <v>296</v>
      </c>
      <c r="B8" s="26" t="s">
        <v>304</v>
      </c>
      <c r="C8" s="27" t="n">
        <v>1.05</v>
      </c>
      <c r="D8" s="28" t="n">
        <v>0.45</v>
      </c>
      <c r="E8" s="29" t="n">
        <f aca="false">C8*Assumptions!$B$10</f>
        <v>38587.5</v>
      </c>
      <c r="F8" s="30" t="n">
        <f aca="false">D8*Assumptions!$B$10</f>
        <v>16537.5</v>
      </c>
      <c r="G8" s="31" t="s">
        <v>298</v>
      </c>
      <c r="H8" s="26" t="s">
        <v>305</v>
      </c>
    </row>
    <row r="9" customFormat="false" ht="24" hidden="false" customHeight="true" outlineLevel="0" collapsed="false">
      <c r="A9" s="21" t="s">
        <v>296</v>
      </c>
      <c r="B9" s="26" t="s">
        <v>306</v>
      </c>
      <c r="C9" s="27" t="n">
        <v>1.05</v>
      </c>
      <c r="D9" s="28" t="n">
        <v>0.45</v>
      </c>
      <c r="E9" s="29" t="n">
        <f aca="false">C9*Assumptions!$B$10</f>
        <v>38587.5</v>
      </c>
      <c r="F9" s="30" t="n">
        <f aca="false">D9*Assumptions!$B$10</f>
        <v>16537.5</v>
      </c>
      <c r="G9" s="31" t="s">
        <v>298</v>
      </c>
      <c r="H9" s="26" t="s">
        <v>307</v>
      </c>
    </row>
    <row r="10" customFormat="false" ht="24" hidden="false" customHeight="true" outlineLevel="0" collapsed="false">
      <c r="A10" s="21" t="s">
        <v>308</v>
      </c>
      <c r="B10" s="26" t="s">
        <v>309</v>
      </c>
      <c r="C10" s="27" t="n">
        <v>2.25</v>
      </c>
      <c r="D10" s="28" t="n">
        <v>0.75</v>
      </c>
      <c r="E10" s="29" t="n">
        <f aca="false">C10*Assumptions!$B$10</f>
        <v>82687.5</v>
      </c>
      <c r="F10" s="30" t="n">
        <f aca="false">D10*Assumptions!$B$10</f>
        <v>27562.5</v>
      </c>
      <c r="G10" s="31" t="s">
        <v>310</v>
      </c>
      <c r="H10" s="26" t="s">
        <v>311</v>
      </c>
    </row>
    <row r="11" customFormat="false" ht="24" hidden="false" customHeight="true" outlineLevel="0" collapsed="false">
      <c r="A11" s="21" t="s">
        <v>308</v>
      </c>
      <c r="B11" s="26" t="s">
        <v>253</v>
      </c>
      <c r="C11" s="27" t="n">
        <v>2.25</v>
      </c>
      <c r="D11" s="28" t="n">
        <v>0.75</v>
      </c>
      <c r="E11" s="29" t="n">
        <f aca="false">C11*Assumptions!$B$10</f>
        <v>82687.5</v>
      </c>
      <c r="F11" s="30" t="n">
        <f aca="false">D11*Assumptions!$B$10</f>
        <v>27562.5</v>
      </c>
      <c r="G11" s="31" t="s">
        <v>310</v>
      </c>
      <c r="H11" s="26" t="s">
        <v>312</v>
      </c>
    </row>
    <row r="12" customFormat="false" ht="24" hidden="false" customHeight="true" outlineLevel="0" collapsed="false">
      <c r="A12" s="21" t="s">
        <v>313</v>
      </c>
      <c r="B12" s="26" t="s">
        <v>314</v>
      </c>
      <c r="C12" s="27" t="n">
        <v>6</v>
      </c>
      <c r="D12" s="28" t="n">
        <v>2</v>
      </c>
      <c r="E12" s="29" t="n">
        <f aca="false">C12*Assumptions!$B$10</f>
        <v>220500</v>
      </c>
      <c r="F12" s="30" t="n">
        <f aca="false">D12*Assumptions!$B$10</f>
        <v>73500</v>
      </c>
      <c r="G12" s="31" t="s">
        <v>315</v>
      </c>
      <c r="H12" s="26" t="s">
        <v>316</v>
      </c>
    </row>
    <row r="13" customFormat="false" ht="24" hidden="false" customHeight="true" outlineLevel="0" collapsed="false">
      <c r="A13" s="21" t="s">
        <v>313</v>
      </c>
      <c r="B13" s="26" t="s">
        <v>317</v>
      </c>
      <c r="C13" s="27" t="n">
        <v>3.75</v>
      </c>
      <c r="D13" s="28" t="n">
        <v>1.25</v>
      </c>
      <c r="E13" s="29" t="n">
        <f aca="false">C13*Assumptions!$B$10</f>
        <v>137812.5</v>
      </c>
      <c r="F13" s="30" t="n">
        <f aca="false">D13*Assumptions!$B$10</f>
        <v>45937.5</v>
      </c>
      <c r="G13" s="31" t="s">
        <v>315</v>
      </c>
      <c r="H13" s="26" t="s">
        <v>318</v>
      </c>
    </row>
    <row r="14" customFormat="false" ht="24" hidden="false" customHeight="true" outlineLevel="0" collapsed="false">
      <c r="A14" s="21" t="s">
        <v>313</v>
      </c>
      <c r="B14" s="26" t="s">
        <v>319</v>
      </c>
      <c r="C14" s="27" t="n">
        <v>1.5</v>
      </c>
      <c r="D14" s="28" t="n">
        <v>2.5</v>
      </c>
      <c r="E14" s="29" t="n">
        <f aca="false">C14*Assumptions!$B$10</f>
        <v>55125</v>
      </c>
      <c r="F14" s="30" t="n">
        <f aca="false">D14*Assumptions!$B$10</f>
        <v>91875</v>
      </c>
      <c r="G14" s="31" t="s">
        <v>315</v>
      </c>
      <c r="H14" s="26" t="s">
        <v>320</v>
      </c>
    </row>
    <row r="15" customFormat="false" ht="13.5" hidden="false" customHeight="true" outlineLevel="0" collapsed="false">
      <c r="A15" s="21" t="s">
        <v>313</v>
      </c>
      <c r="B15" s="26" t="s">
        <v>259</v>
      </c>
      <c r="C15" s="27" t="n">
        <v>2</v>
      </c>
      <c r="D15" s="28" t="n">
        <v>0.5</v>
      </c>
      <c r="E15" s="29" t="n">
        <f aca="false">C15*Assumptions!$B$10</f>
        <v>73500</v>
      </c>
      <c r="F15" s="30" t="n">
        <f aca="false">D15*Assumptions!$B$10</f>
        <v>18375</v>
      </c>
      <c r="G15" s="31" t="s">
        <v>315</v>
      </c>
      <c r="H15" s="26" t="s">
        <v>321</v>
      </c>
    </row>
    <row r="16" customFormat="false" ht="24" hidden="false" customHeight="true" outlineLevel="0" collapsed="false">
      <c r="A16" s="21" t="s">
        <v>313</v>
      </c>
      <c r="B16" s="26" t="s">
        <v>322</v>
      </c>
      <c r="C16" s="27" t="n">
        <v>1.5</v>
      </c>
      <c r="D16" s="28" t="n">
        <v>0.5</v>
      </c>
      <c r="E16" s="29" t="n">
        <f aca="false">C16*Assumptions!$B$10</f>
        <v>55125</v>
      </c>
      <c r="F16" s="30" t="n">
        <f aca="false">D16*Assumptions!$B$10</f>
        <v>18375</v>
      </c>
      <c r="G16" s="31" t="s">
        <v>315</v>
      </c>
      <c r="H16" s="26" t="s">
        <v>323</v>
      </c>
    </row>
    <row r="17" customFormat="false" ht="13.5" hidden="false" customHeight="true" outlineLevel="0" collapsed="false">
      <c r="A17" s="21" t="s">
        <v>313</v>
      </c>
      <c r="B17" s="26" t="s">
        <v>324</v>
      </c>
      <c r="C17" s="27" t="n">
        <v>0.5</v>
      </c>
      <c r="D17" s="28" t="n">
        <v>1.5</v>
      </c>
      <c r="E17" s="29" t="n">
        <f aca="false">C17*Assumptions!$B$10</f>
        <v>18375</v>
      </c>
      <c r="F17" s="30" t="n">
        <f aca="false">D17*Assumptions!$B$10</f>
        <v>55125</v>
      </c>
      <c r="G17" s="31" t="s">
        <v>315</v>
      </c>
      <c r="H17" s="26" t="s">
        <v>325</v>
      </c>
    </row>
    <row r="18" customFormat="false" ht="13.5" hidden="false" customHeight="true" outlineLevel="0" collapsed="false">
      <c r="A18" s="21" t="s">
        <v>313</v>
      </c>
      <c r="B18" s="26" t="s">
        <v>326</v>
      </c>
      <c r="C18" s="27" t="n">
        <v>0.25</v>
      </c>
      <c r="D18" s="28" t="n">
        <v>0.75</v>
      </c>
      <c r="E18" s="29" t="n">
        <f aca="false">C18*Assumptions!$B$10</f>
        <v>9187.5</v>
      </c>
      <c r="F18" s="30" t="n">
        <f aca="false">D18*Assumptions!$B$10</f>
        <v>27562.5</v>
      </c>
      <c r="G18" s="31" t="s">
        <v>315</v>
      </c>
      <c r="H18" s="26" t="s">
        <v>327</v>
      </c>
    </row>
    <row r="19" customFormat="false" ht="24" hidden="false" customHeight="true" outlineLevel="0" collapsed="false">
      <c r="A19" s="21" t="s">
        <v>328</v>
      </c>
      <c r="B19" s="26" t="s">
        <v>329</v>
      </c>
      <c r="C19" s="27" t="n">
        <v>2.1</v>
      </c>
      <c r="D19" s="28" t="n">
        <v>0.9</v>
      </c>
      <c r="E19" s="29" t="n">
        <f aca="false">C19*Assumptions!$B$10</f>
        <v>77175</v>
      </c>
      <c r="F19" s="30" t="n">
        <f aca="false">D19*Assumptions!$B$10</f>
        <v>33075</v>
      </c>
      <c r="G19" s="31" t="s">
        <v>330</v>
      </c>
      <c r="H19" s="26" t="s">
        <v>331</v>
      </c>
    </row>
    <row r="20" customFormat="false" ht="24" hidden="false" customHeight="true" outlineLevel="0" collapsed="false">
      <c r="A20" s="21" t="s">
        <v>328</v>
      </c>
      <c r="B20" s="26" t="s">
        <v>332</v>
      </c>
      <c r="C20" s="27" t="n">
        <v>0.6</v>
      </c>
      <c r="D20" s="28" t="n">
        <v>0.9</v>
      </c>
      <c r="E20" s="29" t="n">
        <f aca="false">C20*Assumptions!$B$10</f>
        <v>22050</v>
      </c>
      <c r="F20" s="30" t="n">
        <f aca="false">D20*Assumptions!$B$10</f>
        <v>33075</v>
      </c>
      <c r="G20" s="31" t="s">
        <v>330</v>
      </c>
      <c r="H20" s="26" t="s">
        <v>333</v>
      </c>
    </row>
    <row r="21" customFormat="false" ht="24" hidden="false" customHeight="true" outlineLevel="0" collapsed="false">
      <c r="A21" s="21" t="s">
        <v>334</v>
      </c>
      <c r="B21" s="26" t="s">
        <v>335</v>
      </c>
      <c r="C21" s="27" t="n">
        <v>2</v>
      </c>
      <c r="D21" s="28" t="n">
        <v>0</v>
      </c>
      <c r="E21" s="29" t="n">
        <f aca="false">C21*Assumptions!$B$10</f>
        <v>73500</v>
      </c>
      <c r="F21" s="30" t="n">
        <f aca="false">D21*Assumptions!$B$10</f>
        <v>0</v>
      </c>
      <c r="G21" s="31" t="s">
        <v>330</v>
      </c>
      <c r="H21" s="26" t="s">
        <v>336</v>
      </c>
    </row>
    <row r="22" customFormat="false" ht="13.5" hidden="false" customHeight="true" outlineLevel="0" collapsed="false">
      <c r="A22" s="21" t="s">
        <v>334</v>
      </c>
      <c r="B22" s="26" t="s">
        <v>337</v>
      </c>
      <c r="C22" s="27" t="n">
        <v>0</v>
      </c>
      <c r="D22" s="28" t="n">
        <v>2</v>
      </c>
      <c r="E22" s="29" t="n">
        <f aca="false">C22*Assumptions!$B$10</f>
        <v>0</v>
      </c>
      <c r="F22" s="30" t="n">
        <f aca="false">D22*Assumptions!$B$10</f>
        <v>73500</v>
      </c>
      <c r="G22" s="31" t="s">
        <v>338</v>
      </c>
      <c r="H22" s="26" t="s">
        <v>339</v>
      </c>
    </row>
    <row r="23" customFormat="false" ht="13.5" hidden="false" customHeight="true" outlineLevel="0" collapsed="false">
      <c r="A23" s="21" t="s">
        <v>340</v>
      </c>
      <c r="B23" s="26" t="s">
        <v>341</v>
      </c>
      <c r="C23" s="27" t="n">
        <v>0</v>
      </c>
      <c r="D23" s="28" t="n">
        <v>10</v>
      </c>
      <c r="E23" s="29" t="n">
        <f aca="false">C23*Assumptions!$B$10</f>
        <v>0</v>
      </c>
      <c r="F23" s="30" t="n">
        <f aca="false">D23*Assumptions!$B$10</f>
        <v>367500</v>
      </c>
      <c r="G23" s="31" t="s">
        <v>338</v>
      </c>
      <c r="H23" s="26" t="s">
        <v>342</v>
      </c>
    </row>
    <row r="24" customFormat="false" ht="13.5" hidden="false" customHeight="true" outlineLevel="0" collapsed="false">
      <c r="A24" s="21" t="s">
        <v>343</v>
      </c>
      <c r="B24" s="26" t="s">
        <v>344</v>
      </c>
      <c r="C24" s="27" t="n">
        <v>0</v>
      </c>
      <c r="D24" s="28" t="n">
        <v>8</v>
      </c>
      <c r="E24" s="29" t="n">
        <f aca="false">C24*Assumptions!$B$10</f>
        <v>0</v>
      </c>
      <c r="F24" s="30" t="n">
        <f aca="false">D24*Assumptions!$B$10</f>
        <v>294000</v>
      </c>
      <c r="G24" s="31" t="s">
        <v>338</v>
      </c>
      <c r="H24" s="26" t="s">
        <v>345</v>
      </c>
    </row>
    <row r="25" customFormat="false" ht="13.5" hidden="false" customHeight="true" outlineLevel="0" collapsed="false">
      <c r="A25" s="21" t="s">
        <v>346</v>
      </c>
      <c r="B25" s="26" t="s">
        <v>347</v>
      </c>
      <c r="C25" s="27" t="n">
        <v>0</v>
      </c>
      <c r="D25" s="28" t="n">
        <v>5</v>
      </c>
      <c r="E25" s="29" t="n">
        <f aca="false">C25*Assumptions!$B$10</f>
        <v>0</v>
      </c>
      <c r="F25" s="30" t="n">
        <f aca="false">D25*Assumptions!$B$10</f>
        <v>183750</v>
      </c>
      <c r="G25" s="31" t="s">
        <v>338</v>
      </c>
      <c r="H25" s="26" t="s">
        <v>348</v>
      </c>
    </row>
    <row r="26" customFormat="false" ht="15" hidden="false" customHeight="true" outlineLevel="0" collapsed="false">
      <c r="A26" s="32"/>
      <c r="B26" s="33" t="s">
        <v>349</v>
      </c>
      <c r="C26" s="34" t="n">
        <f aca="false">SUM(C5:C25)</f>
        <v>31.35</v>
      </c>
      <c r="D26" s="34" t="n">
        <f aca="false">SUM(D5:D25)</f>
        <v>40.15</v>
      </c>
      <c r="E26" s="35" t="n">
        <f aca="false">SUM(E5:E25)</f>
        <v>1152112.5</v>
      </c>
      <c r="F26" s="35" t="n">
        <f aca="false">SUM(F5:F25)</f>
        <v>1475512.5</v>
      </c>
      <c r="G26" s="32"/>
      <c r="H26" s="32"/>
    </row>
    <row r="27" customFormat="false" ht="15" hidden="false" customHeight="true" outlineLevel="0" collapsed="false">
      <c r="B27" s="6" t="s">
        <v>350</v>
      </c>
      <c r="C27" s="36" t="n">
        <f aca="false">C26/(C26+D26)</f>
        <v>0.438461538461538</v>
      </c>
      <c r="D27" s="36" t="n">
        <f aca="false">D26/(C26+D26)</f>
        <v>0.561538461538462</v>
      </c>
    </row>
    <row r="29" customFormat="false" ht="15" hidden="false" customHeight="true" outlineLevel="0" collapsed="false">
      <c r="A29" s="5"/>
      <c r="B29" s="4" t="s">
        <v>351</v>
      </c>
      <c r="C29" s="5"/>
      <c r="D29" s="5"/>
      <c r="E29" s="5"/>
      <c r="F29" s="5"/>
      <c r="G29" s="5"/>
      <c r="H29" s="5"/>
    </row>
    <row r="30" customFormat="false" ht="15" hidden="false" customHeight="true" outlineLevel="0" collapsed="false">
      <c r="B30" s="6" t="s">
        <v>352</v>
      </c>
      <c r="C30" s="6" t="s">
        <v>290</v>
      </c>
      <c r="D30" s="6" t="s">
        <v>291</v>
      </c>
      <c r="E30" s="6" t="s">
        <v>292</v>
      </c>
      <c r="F30" s="6" t="s">
        <v>293</v>
      </c>
      <c r="G30" s="6" t="s">
        <v>353</v>
      </c>
      <c r="H30" s="6" t="s">
        <v>354</v>
      </c>
    </row>
    <row r="31" customFormat="false" ht="15" hidden="false" customHeight="true" outlineLevel="0" collapsed="false">
      <c r="B31" s="21" t="n">
        <v>2027</v>
      </c>
      <c r="C31" s="27" t="n">
        <v>31.35</v>
      </c>
      <c r="D31" s="28" t="n">
        <v>40.15</v>
      </c>
      <c r="E31" s="37" t="n">
        <f aca="false">C31*Assumptions!$B$10</f>
        <v>1152112.5</v>
      </c>
      <c r="F31" s="37" t="n">
        <f aca="false">D31*Assumptions!$B$10</f>
        <v>1475512.5</v>
      </c>
      <c r="G31" s="38" t="n">
        <v>530000</v>
      </c>
      <c r="H31" s="37" t="n">
        <f aca="false">F31+G31</f>
        <v>2005512.5</v>
      </c>
    </row>
    <row r="32" customFormat="false" ht="15" hidden="false" customHeight="true" outlineLevel="0" collapsed="false">
      <c r="B32" s="21" t="n">
        <v>2028</v>
      </c>
      <c r="C32" s="27" t="n">
        <v>23</v>
      </c>
      <c r="D32" s="28" t="n">
        <v>42</v>
      </c>
      <c r="E32" s="37" t="n">
        <f aca="false">C32*Assumptions!$B$10</f>
        <v>845250</v>
      </c>
      <c r="F32" s="37" t="n">
        <f aca="false">D32*Assumptions!$B$10</f>
        <v>1543500</v>
      </c>
      <c r="G32" s="38" t="n">
        <v>480000</v>
      </c>
      <c r="H32" s="37" t="n">
        <f aca="false">F32+G32</f>
        <v>2023500</v>
      </c>
    </row>
    <row r="33" customFormat="false" ht="15" hidden="false" customHeight="true" outlineLevel="0" collapsed="false">
      <c r="B33" s="21" t="n">
        <v>2029</v>
      </c>
      <c r="C33" s="27" t="n">
        <v>40</v>
      </c>
      <c r="D33" s="28" t="n">
        <v>26</v>
      </c>
      <c r="E33" s="37" t="n">
        <f aca="false">C33*Assumptions!$B$10</f>
        <v>1470000</v>
      </c>
      <c r="F33" s="37" t="n">
        <f aca="false">D33*Assumptions!$B$10</f>
        <v>955500</v>
      </c>
      <c r="G33" s="38" t="n">
        <v>480000</v>
      </c>
      <c r="H33" s="37" t="n">
        <f aca="false">F33+G33</f>
        <v>1435500</v>
      </c>
    </row>
    <row r="34" customFormat="false" ht="15" hidden="false" customHeight="true" outlineLevel="0" collapsed="false">
      <c r="B34" s="21" t="n">
        <v>2030</v>
      </c>
      <c r="C34" s="27" t="n">
        <v>27</v>
      </c>
      <c r="D34" s="28" t="n">
        <v>33</v>
      </c>
      <c r="E34" s="37" t="n">
        <f aca="false">C34*Assumptions!$B$10</f>
        <v>992250</v>
      </c>
      <c r="F34" s="37" t="n">
        <f aca="false">D34*Assumptions!$B$10</f>
        <v>1212750</v>
      </c>
      <c r="G34" s="38" t="n">
        <v>480000</v>
      </c>
      <c r="H34" s="37" t="n">
        <f aca="false">F34+G34</f>
        <v>1692750</v>
      </c>
    </row>
    <row r="35" customFormat="false" ht="15" hidden="false" customHeight="true" outlineLevel="0" collapsed="false">
      <c r="B35" s="21" t="n">
        <v>2031</v>
      </c>
      <c r="C35" s="27" t="n">
        <v>30</v>
      </c>
      <c r="D35" s="28" t="n">
        <v>28</v>
      </c>
      <c r="E35" s="37" t="n">
        <f aca="false">C35*Assumptions!$B$10</f>
        <v>1102500</v>
      </c>
      <c r="F35" s="37" t="n">
        <f aca="false">D35*Assumptions!$B$10</f>
        <v>1029000</v>
      </c>
      <c r="G35" s="38" t="n">
        <v>480000</v>
      </c>
      <c r="H35" s="37" t="n">
        <f aca="false">F35+G35</f>
        <v>1509000</v>
      </c>
    </row>
    <row r="36" customFormat="false" ht="15" hidden="false" customHeight="true" outlineLevel="0" collapsed="false">
      <c r="B36" s="33" t="s">
        <v>355</v>
      </c>
      <c r="C36" s="34" t="n">
        <f aca="false">SUM(C31:C35)</f>
        <v>151.35</v>
      </c>
      <c r="D36" s="34" t="n">
        <f aca="false">SUM(D31:D35)</f>
        <v>169.15</v>
      </c>
      <c r="E36" s="35" t="n">
        <f aca="false">SUM(E31:E35)</f>
        <v>5562112.5</v>
      </c>
      <c r="F36" s="35" t="n">
        <f aca="false">SUM(F31:F35)</f>
        <v>6216262.5</v>
      </c>
      <c r="G36" s="35" t="n">
        <f aca="false">SUM(G31:G35)</f>
        <v>2450000</v>
      </c>
      <c r="H36" s="35" t="n">
        <f aca="false">SUM(H31:H35)</f>
        <v>8666262.5</v>
      </c>
    </row>
    <row r="38" customFormat="false" ht="25.5" hidden="false" customHeight="true" outlineLevel="0" collapsed="false">
      <c r="B38" s="39" t="s">
        <v>356</v>
      </c>
      <c r="C38" s="39"/>
      <c r="D38" s="39"/>
      <c r="E38" s="39"/>
      <c r="F38" s="39"/>
      <c r="G38" s="39"/>
      <c r="H38" s="39"/>
    </row>
    <row r="39" customFormat="false" ht="25.5" hidden="false" customHeight="true" outlineLevel="0" collapsed="false">
      <c r="B39" s="39" t="s">
        <v>357</v>
      </c>
      <c r="C39" s="39"/>
      <c r="D39" s="39"/>
      <c r="E39" s="39"/>
      <c r="F39" s="39"/>
      <c r="G39" s="39"/>
      <c r="H39" s="39"/>
    </row>
    <row r="40" customFormat="false" ht="25.5" hidden="false" customHeight="true" outlineLevel="0" collapsed="false">
      <c r="B40" s="39" t="s">
        <v>358</v>
      </c>
      <c r="C40" s="39"/>
      <c r="D40" s="39"/>
      <c r="E40" s="39"/>
      <c r="F40" s="39"/>
      <c r="G40" s="39"/>
      <c r="H40" s="39"/>
    </row>
  </sheetData>
  <mergeCells count="3">
    <mergeCell ref="B38:H38"/>
    <mergeCell ref="B39:H39"/>
    <mergeCell ref="B40:H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9"/>
    <col collapsed="false" customWidth="true" hidden="false" outlineLevel="0" max="3" min="3" style="1" width="46"/>
    <col collapsed="false" customWidth="true" hidden="false" outlineLevel="0" max="4" min="4" style="1" width="17"/>
    <col collapsed="false" customWidth="true" hidden="false" outlineLevel="0" max="5" min="5" style="1" width="50"/>
    <col collapsed="false" customWidth="true" hidden="false" outlineLevel="0" max="6" min="6" style="1" width="44"/>
  </cols>
  <sheetData>
    <row r="1" customFormat="false" ht="17.25" hidden="false" customHeight="true" outlineLevel="0" collapsed="false">
      <c r="A1" s="2" t="s">
        <v>359</v>
      </c>
    </row>
    <row r="2" customFormat="false" ht="30" hidden="false" customHeight="true" outlineLevel="0" collapsed="false">
      <c r="A2" s="24" t="s">
        <v>360</v>
      </c>
    </row>
    <row r="4" customFormat="false" ht="30" hidden="false" customHeight="true" outlineLevel="0" collapsed="false">
      <c r="A4" s="25" t="s">
        <v>294</v>
      </c>
      <c r="B4" s="25" t="s">
        <v>361</v>
      </c>
      <c r="C4" s="25" t="s">
        <v>362</v>
      </c>
      <c r="D4" s="25" t="s">
        <v>363</v>
      </c>
      <c r="E4" s="25" t="s">
        <v>364</v>
      </c>
      <c r="F4" s="25" t="s">
        <v>365</v>
      </c>
    </row>
    <row r="5" customFormat="false" ht="42" hidden="false" customHeight="true" outlineLevel="0" collapsed="false">
      <c r="A5" s="40" t="s">
        <v>298</v>
      </c>
      <c r="B5" s="17" t="s">
        <v>366</v>
      </c>
      <c r="C5" s="26" t="s">
        <v>367</v>
      </c>
      <c r="D5" s="41" t="n">
        <v>13.05</v>
      </c>
      <c r="E5" s="26" t="s">
        <v>368</v>
      </c>
      <c r="F5" s="26" t="s">
        <v>369</v>
      </c>
    </row>
    <row r="6" customFormat="false" ht="42" hidden="false" customHeight="true" outlineLevel="0" collapsed="false">
      <c r="A6" s="40" t="s">
        <v>310</v>
      </c>
      <c r="B6" s="17" t="s">
        <v>370</v>
      </c>
      <c r="C6" s="26" t="s">
        <v>371</v>
      </c>
      <c r="D6" s="41" t="n">
        <v>17.55</v>
      </c>
      <c r="E6" s="26" t="s">
        <v>372</v>
      </c>
      <c r="F6" s="26" t="s">
        <v>373</v>
      </c>
    </row>
    <row r="7" customFormat="false" ht="42" hidden="false" customHeight="true" outlineLevel="0" collapsed="false">
      <c r="A7" s="40" t="s">
        <v>315</v>
      </c>
      <c r="B7" s="17" t="s">
        <v>374</v>
      </c>
      <c r="C7" s="26" t="s">
        <v>375</v>
      </c>
      <c r="D7" s="41" t="n">
        <v>33.05</v>
      </c>
      <c r="E7" s="26" t="s">
        <v>376</v>
      </c>
      <c r="F7" s="26" t="s">
        <v>377</v>
      </c>
    </row>
    <row r="8" customFormat="false" ht="42" hidden="false" customHeight="true" outlineLevel="0" collapsed="false">
      <c r="A8" s="40" t="s">
        <v>330</v>
      </c>
      <c r="B8" s="17" t="s">
        <v>378</v>
      </c>
      <c r="C8" s="26" t="s">
        <v>379</v>
      </c>
      <c r="D8" s="41" t="n">
        <v>37.75</v>
      </c>
      <c r="E8" s="26" t="s">
        <v>380</v>
      </c>
      <c r="F8" s="26" t="s">
        <v>381</v>
      </c>
    </row>
    <row r="9" customFormat="false" ht="42" hidden="false" customHeight="true" outlineLevel="0" collapsed="false">
      <c r="A9" s="18" t="s">
        <v>382</v>
      </c>
      <c r="B9" s="17" t="s">
        <v>383</v>
      </c>
      <c r="C9" s="26" t="s">
        <v>338</v>
      </c>
      <c r="D9" s="41" t="n">
        <v>37.75</v>
      </c>
      <c r="E9" s="26" t="s">
        <v>384</v>
      </c>
      <c r="F9" s="26" t="s">
        <v>385</v>
      </c>
    </row>
    <row r="11" customFormat="false" ht="13.5" hidden="false" customHeight="true" outlineLevel="0" collapsed="false">
      <c r="A11" s="42" t="s">
        <v>386</v>
      </c>
      <c r="B11" s="42"/>
      <c r="C11" s="42"/>
      <c r="D11" s="42"/>
      <c r="E11" s="42"/>
      <c r="F11" s="42"/>
    </row>
    <row r="12" customFormat="false" ht="36" hidden="false" customHeight="true" outlineLevel="0" collapsed="false">
      <c r="A12" s="39" t="s">
        <v>387</v>
      </c>
      <c r="B12" s="39"/>
      <c r="C12" s="39"/>
      <c r="D12" s="39"/>
      <c r="E12" s="39"/>
      <c r="F12" s="39"/>
    </row>
    <row r="13" customFormat="false" ht="25.5" hidden="false" customHeight="true" outlineLevel="0" collapsed="false">
      <c r="A13" s="39" t="s">
        <v>388</v>
      </c>
      <c r="B13" s="39"/>
      <c r="C13" s="39"/>
      <c r="D13" s="39"/>
      <c r="E13" s="39"/>
      <c r="F13" s="39"/>
    </row>
    <row r="14" customFormat="false" ht="36" hidden="false" customHeight="true" outlineLevel="0" collapsed="false">
      <c r="A14" s="39" t="s">
        <v>389</v>
      </c>
      <c r="B14" s="39"/>
      <c r="C14" s="39"/>
      <c r="D14" s="39"/>
      <c r="E14" s="39"/>
      <c r="F14" s="39"/>
    </row>
    <row r="15" customFormat="false" ht="25.5" hidden="false" customHeight="true" outlineLevel="0" collapsed="false">
      <c r="A15" s="39" t="s">
        <v>390</v>
      </c>
      <c r="B15" s="39"/>
      <c r="C15" s="39"/>
      <c r="D15" s="39"/>
      <c r="E15" s="39"/>
      <c r="F15" s="39"/>
    </row>
  </sheetData>
  <mergeCells count="5">
    <mergeCell ref="A11:F11"/>
    <mergeCell ref="A12:F12"/>
    <mergeCell ref="A13:F13"/>
    <mergeCell ref="A14:F14"/>
    <mergeCell ref="A15:F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6" min="2" style="1" width="22"/>
    <col collapsed="false" customWidth="true" hidden="false" outlineLevel="0" max="7" min="7" style="1" width="8"/>
  </cols>
  <sheetData>
    <row r="1" customFormat="false" ht="17.25" hidden="false" customHeight="true" outlineLevel="0" collapsed="false">
      <c r="A1" s="2" t="s">
        <v>391</v>
      </c>
    </row>
    <row r="2" customFormat="false" ht="30" hidden="false" customHeight="true" outlineLevel="0" collapsed="false">
      <c r="A2" s="43" t="s">
        <v>392</v>
      </c>
    </row>
    <row r="4" customFormat="false" ht="30" hidden="false" customHeight="true" outlineLevel="0" collapsed="false">
      <c r="A4" s="25" t="s">
        <v>393</v>
      </c>
      <c r="B4" s="25" t="s">
        <v>352</v>
      </c>
      <c r="C4" s="25" t="s">
        <v>394</v>
      </c>
      <c r="D4" s="25" t="s">
        <v>395</v>
      </c>
      <c r="E4" s="25" t="s">
        <v>396</v>
      </c>
      <c r="F4" s="25" t="s">
        <v>397</v>
      </c>
      <c r="G4" s="25" t="s">
        <v>398</v>
      </c>
    </row>
    <row r="5" customFormat="false" ht="15" hidden="false" customHeight="true" outlineLevel="0" collapsed="false">
      <c r="A5" s="44" t="s">
        <v>399</v>
      </c>
      <c r="B5" s="32"/>
      <c r="C5" s="32"/>
      <c r="D5" s="32"/>
      <c r="E5" s="32"/>
      <c r="F5" s="32"/>
      <c r="G5" s="32"/>
    </row>
    <row r="6" customFormat="false" ht="15" hidden="false" customHeight="true" outlineLevel="0" collapsed="false">
      <c r="B6" s="17" t="n">
        <v>2027</v>
      </c>
      <c r="C6" s="29" t="n">
        <v>1152112.5</v>
      </c>
      <c r="D6" s="30" t="n">
        <v>2228347.22222222</v>
      </c>
      <c r="E6" s="37" t="n">
        <v>3400000</v>
      </c>
      <c r="F6" s="37" t="n">
        <v>1171652.77777778</v>
      </c>
      <c r="G6" s="21" t="s">
        <v>400</v>
      </c>
    </row>
    <row r="7" customFormat="false" ht="15" hidden="false" customHeight="true" outlineLevel="0" collapsed="false">
      <c r="B7" s="17" t="n">
        <v>2028</v>
      </c>
      <c r="C7" s="29" t="n">
        <v>845250</v>
      </c>
      <c r="D7" s="30" t="n">
        <v>2248333.33333333</v>
      </c>
      <c r="E7" s="37" t="n">
        <v>3400000</v>
      </c>
      <c r="F7" s="37" t="n">
        <v>1151666.66666667</v>
      </c>
      <c r="G7" s="21" t="s">
        <v>400</v>
      </c>
    </row>
    <row r="8" customFormat="false" ht="15" hidden="false" customHeight="true" outlineLevel="0" collapsed="false">
      <c r="B8" s="17" t="n">
        <v>2029</v>
      </c>
      <c r="C8" s="29" t="n">
        <v>0</v>
      </c>
      <c r="D8" s="30" t="n">
        <v>3228333.33333333</v>
      </c>
      <c r="E8" s="37" t="n">
        <v>3500000</v>
      </c>
      <c r="F8" s="37" t="n">
        <v>271666.666666667</v>
      </c>
      <c r="G8" s="21" t="s">
        <v>400</v>
      </c>
    </row>
    <row r="9" customFormat="false" ht="15" hidden="false" customHeight="true" outlineLevel="0" collapsed="false">
      <c r="B9" s="17" t="n">
        <v>2030</v>
      </c>
      <c r="C9" s="29" t="n">
        <v>0</v>
      </c>
      <c r="D9" s="30" t="n">
        <v>2983333.33333333</v>
      </c>
      <c r="E9" s="37" t="n">
        <v>3500000</v>
      </c>
      <c r="F9" s="37" t="n">
        <v>516666.666666667</v>
      </c>
      <c r="G9" s="21" t="s">
        <v>400</v>
      </c>
    </row>
    <row r="10" customFormat="false" ht="15" hidden="false" customHeight="true" outlineLevel="0" collapsed="false">
      <c r="B10" s="17" t="n">
        <v>2031</v>
      </c>
      <c r="C10" s="29" t="n">
        <v>0</v>
      </c>
      <c r="D10" s="30" t="n">
        <v>2901666.66666667</v>
      </c>
      <c r="E10" s="37" t="n">
        <v>3500000</v>
      </c>
      <c r="F10" s="37" t="n">
        <v>598333.333333334</v>
      </c>
      <c r="G10" s="21" t="s">
        <v>400</v>
      </c>
    </row>
    <row r="11" customFormat="false" ht="15" hidden="false" customHeight="true" outlineLevel="0" collapsed="false">
      <c r="A11" s="18" t="s">
        <v>401</v>
      </c>
      <c r="B11" s="45"/>
      <c r="C11" s="46" t="n">
        <v>1997362.5</v>
      </c>
      <c r="D11" s="46" t="n">
        <v>13590013.8888889</v>
      </c>
      <c r="E11" s="46" t="n">
        <v>17300000</v>
      </c>
      <c r="F11" s="46" t="n">
        <v>3709986.11111111</v>
      </c>
      <c r="G11" s="45"/>
    </row>
    <row r="13" customFormat="false" ht="15" hidden="false" customHeight="true" outlineLevel="0" collapsed="false">
      <c r="A13" s="44" t="s">
        <v>402</v>
      </c>
      <c r="B13" s="32"/>
      <c r="C13" s="32"/>
      <c r="D13" s="32"/>
      <c r="E13" s="32"/>
      <c r="F13" s="32"/>
      <c r="G13" s="32"/>
    </row>
    <row r="14" customFormat="false" ht="15" hidden="false" customHeight="true" outlineLevel="0" collapsed="false">
      <c r="B14" s="17" t="n">
        <v>2027</v>
      </c>
      <c r="C14" s="29" t="n">
        <v>576056.25</v>
      </c>
      <c r="D14" s="30" t="n">
        <v>2868409.72222222</v>
      </c>
      <c r="E14" s="37" t="n">
        <v>3400000</v>
      </c>
      <c r="F14" s="37" t="n">
        <v>531590.277777778</v>
      </c>
      <c r="G14" s="21" t="s">
        <v>400</v>
      </c>
    </row>
    <row r="15" customFormat="false" ht="15" hidden="false" customHeight="true" outlineLevel="0" collapsed="false">
      <c r="B15" s="17" t="n">
        <v>2028</v>
      </c>
      <c r="C15" s="29" t="n">
        <v>422625</v>
      </c>
      <c r="D15" s="30" t="n">
        <v>2717916.66666667</v>
      </c>
      <c r="E15" s="37" t="n">
        <v>3400000</v>
      </c>
      <c r="F15" s="37" t="n">
        <v>682083.333333334</v>
      </c>
      <c r="G15" s="21" t="s">
        <v>400</v>
      </c>
    </row>
    <row r="16" customFormat="false" ht="15" hidden="false" customHeight="true" outlineLevel="0" collapsed="false">
      <c r="B16" s="17" t="n">
        <v>2029</v>
      </c>
      <c r="C16" s="29" t="n">
        <v>735000</v>
      </c>
      <c r="D16" s="30" t="n">
        <v>2411666.66666667</v>
      </c>
      <c r="E16" s="37" t="n">
        <v>3500000</v>
      </c>
      <c r="F16" s="37" t="n">
        <v>1088333.33333333</v>
      </c>
      <c r="G16" s="21" t="s">
        <v>400</v>
      </c>
    </row>
    <row r="17" customFormat="false" ht="15" hidden="false" customHeight="true" outlineLevel="0" collapsed="false">
      <c r="B17" s="17" t="n">
        <v>2030</v>
      </c>
      <c r="C17" s="29" t="n">
        <v>496125</v>
      </c>
      <c r="D17" s="30" t="n">
        <v>2432083.33333333</v>
      </c>
      <c r="E17" s="37" t="n">
        <v>3500000</v>
      </c>
      <c r="F17" s="37" t="n">
        <v>1067916.66666667</v>
      </c>
      <c r="G17" s="21" t="s">
        <v>400</v>
      </c>
    </row>
    <row r="18" customFormat="false" ht="15" hidden="false" customHeight="true" outlineLevel="0" collapsed="false">
      <c r="B18" s="17" t="n">
        <v>2031</v>
      </c>
      <c r="C18" s="29" t="n">
        <v>551250</v>
      </c>
      <c r="D18" s="30" t="n">
        <v>2289166.66666667</v>
      </c>
      <c r="E18" s="37" t="n">
        <v>3500000</v>
      </c>
      <c r="F18" s="37" t="n">
        <v>1210833.33333333</v>
      </c>
      <c r="G18" s="21" t="s">
        <v>400</v>
      </c>
    </row>
    <row r="19" customFormat="false" ht="15" hidden="false" customHeight="true" outlineLevel="0" collapsed="false">
      <c r="A19" s="18" t="s">
        <v>401</v>
      </c>
      <c r="B19" s="45"/>
      <c r="C19" s="46" t="n">
        <v>2781056.25</v>
      </c>
      <c r="D19" s="46" t="n">
        <v>12719243.0555556</v>
      </c>
      <c r="E19" s="46" t="n">
        <v>17300000</v>
      </c>
      <c r="F19" s="46" t="n">
        <v>4580756.94444445</v>
      </c>
      <c r="G19" s="45"/>
    </row>
    <row r="21" customFormat="false" ht="15" hidden="false" customHeight="true" outlineLevel="0" collapsed="false">
      <c r="A21" s="44" t="s">
        <v>403</v>
      </c>
      <c r="B21" s="32"/>
      <c r="C21" s="32"/>
      <c r="D21" s="32"/>
      <c r="E21" s="32"/>
      <c r="F21" s="32"/>
      <c r="G21" s="32"/>
    </row>
    <row r="22" customFormat="false" ht="15" hidden="false" customHeight="true" outlineLevel="0" collapsed="false">
      <c r="B22" s="17" t="n">
        <v>2027</v>
      </c>
      <c r="C22" s="29" t="n">
        <v>1152112.5</v>
      </c>
      <c r="D22" s="30" t="n">
        <v>2228347.22222222</v>
      </c>
      <c r="E22" s="37" t="n">
        <v>3400000</v>
      </c>
      <c r="F22" s="37" t="n">
        <v>1171652.77777778</v>
      </c>
      <c r="G22" s="21" t="s">
        <v>400</v>
      </c>
    </row>
    <row r="23" customFormat="false" ht="15" hidden="false" customHeight="true" outlineLevel="0" collapsed="false">
      <c r="B23" s="17" t="n">
        <v>2028</v>
      </c>
      <c r="C23" s="29" t="n">
        <v>845250</v>
      </c>
      <c r="D23" s="30" t="n">
        <v>2248333.33333333</v>
      </c>
      <c r="E23" s="37" t="n">
        <v>3400000</v>
      </c>
      <c r="F23" s="37" t="n">
        <v>1151666.66666667</v>
      </c>
      <c r="G23" s="21" t="s">
        <v>400</v>
      </c>
    </row>
    <row r="24" customFormat="false" ht="15" hidden="false" customHeight="true" outlineLevel="0" collapsed="false">
      <c r="B24" s="17" t="n">
        <v>2029</v>
      </c>
      <c r="C24" s="29" t="n">
        <v>1470000</v>
      </c>
      <c r="D24" s="30" t="n">
        <v>1595000</v>
      </c>
      <c r="E24" s="37" t="n">
        <v>3500000</v>
      </c>
      <c r="F24" s="37" t="n">
        <v>1905000</v>
      </c>
      <c r="G24" s="21" t="s">
        <v>400</v>
      </c>
    </row>
    <row r="25" customFormat="false" ht="15" hidden="false" customHeight="true" outlineLevel="0" collapsed="false">
      <c r="B25" s="17" t="n">
        <v>2030</v>
      </c>
      <c r="C25" s="29" t="n">
        <v>992250</v>
      </c>
      <c r="D25" s="30" t="n">
        <v>1880833.33333333</v>
      </c>
      <c r="E25" s="37" t="n">
        <v>3500000</v>
      </c>
      <c r="F25" s="37" t="n">
        <v>1619166.66666667</v>
      </c>
      <c r="G25" s="21" t="s">
        <v>400</v>
      </c>
    </row>
    <row r="26" customFormat="false" ht="15" hidden="false" customHeight="true" outlineLevel="0" collapsed="false">
      <c r="B26" s="17" t="n">
        <v>2031</v>
      </c>
      <c r="C26" s="29" t="n">
        <v>1102500</v>
      </c>
      <c r="D26" s="30" t="n">
        <v>1676666.66666667</v>
      </c>
      <c r="E26" s="37" t="n">
        <v>3500000</v>
      </c>
      <c r="F26" s="37" t="n">
        <v>1823333.33333333</v>
      </c>
      <c r="G26" s="21" t="s">
        <v>400</v>
      </c>
    </row>
    <row r="27" customFormat="false" ht="15" hidden="false" customHeight="true" outlineLevel="0" collapsed="false">
      <c r="A27" s="18" t="s">
        <v>401</v>
      </c>
      <c r="B27" s="45"/>
      <c r="C27" s="46" t="n">
        <v>5562112.5</v>
      </c>
      <c r="D27" s="46" t="n">
        <v>9629180.55555556</v>
      </c>
      <c r="E27" s="46" t="n">
        <v>17300000</v>
      </c>
      <c r="F27" s="46" t="n">
        <v>7670819.44444444</v>
      </c>
      <c r="G27" s="45"/>
    </row>
    <row r="29" customFormat="false" ht="15" hidden="false" customHeight="true" outlineLevel="0" collapsed="false">
      <c r="A29" s="13" t="s">
        <v>404</v>
      </c>
      <c r="B29" s="47"/>
      <c r="C29" s="47"/>
      <c r="D29" s="47"/>
      <c r="E29" s="47"/>
      <c r="F29" s="47"/>
      <c r="G29" s="47"/>
    </row>
    <row r="30" customFormat="false" ht="31.5" hidden="false" customHeight="true" outlineLevel="0" collapsed="false">
      <c r="A30" s="47"/>
      <c r="B30" s="48" t="s">
        <v>405</v>
      </c>
      <c r="C30" s="48" t="s">
        <v>406</v>
      </c>
      <c r="D30" s="48" t="s">
        <v>407</v>
      </c>
      <c r="E30" s="48" t="s">
        <v>408</v>
      </c>
      <c r="F30" s="47"/>
      <c r="G30" s="47"/>
    </row>
    <row r="31" customFormat="false" ht="15" hidden="false" customHeight="true" outlineLevel="0" collapsed="false">
      <c r="A31" s="49" t="s">
        <v>409</v>
      </c>
      <c r="B31" s="50" t="n">
        <v>5562112</v>
      </c>
      <c r="C31" s="50" t="n">
        <v>3779738</v>
      </c>
      <c r="D31" s="50" t="n">
        <v>1997362</v>
      </c>
      <c r="E31" s="50" t="n">
        <v>0</v>
      </c>
      <c r="F31" s="47"/>
      <c r="G31" s="47"/>
    </row>
    <row r="32" customFormat="false" ht="15" hidden="false" customHeight="true" outlineLevel="0" collapsed="false">
      <c r="A32" s="49" t="s">
        <v>410</v>
      </c>
      <c r="B32" s="50" t="n">
        <v>9629181</v>
      </c>
      <c r="C32" s="50" t="n">
        <v>11609597</v>
      </c>
      <c r="D32" s="50" t="n">
        <v>13590014</v>
      </c>
      <c r="E32" s="50" t="n">
        <v>15809306</v>
      </c>
      <c r="F32" s="47"/>
      <c r="G32" s="47"/>
    </row>
    <row r="33" customFormat="false" ht="15" hidden="false" customHeight="true" outlineLevel="0" collapsed="false">
      <c r="A33" s="49" t="s">
        <v>411</v>
      </c>
      <c r="B33" s="50" t="n">
        <v>6180125</v>
      </c>
      <c r="C33" s="50" t="n">
        <v>4199709</v>
      </c>
      <c r="D33" s="50" t="n">
        <v>2219292</v>
      </c>
      <c r="E33" s="50" t="n">
        <v>0</v>
      </c>
      <c r="F33" s="47"/>
      <c r="G33" s="47"/>
    </row>
    <row r="34" customFormat="false" ht="15" hidden="false" customHeight="true" outlineLevel="0" collapsed="false">
      <c r="A34" s="49" t="s">
        <v>412</v>
      </c>
      <c r="B34" s="50" t="n">
        <v>2228347</v>
      </c>
      <c r="C34" s="50" t="n">
        <v>2228347</v>
      </c>
      <c r="D34" s="50" t="n">
        <v>2228347</v>
      </c>
      <c r="E34" s="50" t="n">
        <v>3508472</v>
      </c>
      <c r="F34" s="47"/>
      <c r="G34" s="47"/>
    </row>
    <row r="35" customFormat="false" ht="15" hidden="false" customHeight="true" outlineLevel="0" collapsed="false">
      <c r="A35" s="49" t="s">
        <v>413</v>
      </c>
      <c r="B35" s="51" t="s">
        <v>400</v>
      </c>
      <c r="C35" s="51" t="s">
        <v>400</v>
      </c>
      <c r="D35" s="51" t="s">
        <v>400</v>
      </c>
      <c r="E35" s="51" t="s">
        <v>414</v>
      </c>
      <c r="F35" s="47"/>
      <c r="G35" s="47"/>
    </row>
    <row r="36" customFormat="false" ht="15" hidden="false" customHeight="true" outlineLevel="0" collapsed="false">
      <c r="A36" s="49" t="s">
        <v>415</v>
      </c>
      <c r="B36" s="51" t="s">
        <v>416</v>
      </c>
      <c r="C36" s="51" t="s">
        <v>417</v>
      </c>
      <c r="D36" s="51" t="s">
        <v>418</v>
      </c>
      <c r="E36" s="51" t="s">
        <v>419</v>
      </c>
      <c r="F36" s="47"/>
      <c r="G36" s="47"/>
    </row>
    <row r="37" customFormat="false" ht="15" hidden="false" customHeight="true" outlineLevel="0" collapsed="false">
      <c r="A37" s="49" t="s">
        <v>420</v>
      </c>
      <c r="B37" s="51" t="s">
        <v>421</v>
      </c>
      <c r="C37" s="51" t="s">
        <v>422</v>
      </c>
      <c r="D37" s="51" t="s">
        <v>423</v>
      </c>
      <c r="E37" s="51" t="s">
        <v>424</v>
      </c>
      <c r="F37" s="47"/>
      <c r="G37" s="47"/>
    </row>
    <row r="38" customFormat="false" ht="15" hidden="false" customHeight="true" outlineLevel="0" collapsed="false">
      <c r="A38" s="49" t="s">
        <v>425</v>
      </c>
      <c r="B38" s="51" t="s">
        <v>416</v>
      </c>
      <c r="C38" s="51" t="s">
        <v>426</v>
      </c>
      <c r="D38" s="51" t="s">
        <v>427</v>
      </c>
      <c r="E38" s="51" t="s">
        <v>428</v>
      </c>
      <c r="F38" s="47"/>
      <c r="G38" s="47"/>
    </row>
    <row r="39" customFormat="false" ht="15" hidden="false" customHeight="true" outlineLevel="0" collapsed="false">
      <c r="A39" s="49" t="s">
        <v>429</v>
      </c>
      <c r="B39" s="50" t="n">
        <v>1997362</v>
      </c>
      <c r="C39" s="50" t="n">
        <v>1997362</v>
      </c>
      <c r="D39" s="50" t="n">
        <v>1997362</v>
      </c>
      <c r="E39" s="50" t="n">
        <v>0</v>
      </c>
      <c r="F39" s="47"/>
      <c r="G39" s="47"/>
    </row>
    <row r="40" customFormat="false" ht="30" hidden="false" customHeight="true" outlineLevel="0" collapsed="false">
      <c r="A40" s="52"/>
      <c r="B40" s="47"/>
      <c r="C40" s="47"/>
      <c r="D40" s="47"/>
      <c r="E40" s="47"/>
      <c r="F40" s="47"/>
      <c r="G40" s="47"/>
    </row>
    <row r="41" customFormat="false" ht="30" hidden="false" customHeight="true" outlineLevel="0" collapsed="false">
      <c r="A41" s="43" t="s">
        <v>430</v>
      </c>
      <c r="B41" s="47"/>
      <c r="C41" s="47"/>
      <c r="D41" s="47"/>
      <c r="E41" s="47"/>
      <c r="F41" s="47"/>
      <c r="G41" s="47"/>
    </row>
    <row r="42" customFormat="false" ht="30" hidden="false" customHeight="true" outlineLevel="0" collapsed="false">
      <c r="A42" s="43" t="s">
        <v>431</v>
      </c>
      <c r="B42" s="47"/>
      <c r="C42" s="47"/>
      <c r="D42" s="47"/>
      <c r="E42" s="47"/>
      <c r="F42" s="47"/>
      <c r="G42" s="47"/>
    </row>
    <row r="43" customFormat="false" ht="42.75" hidden="false" customHeight="true" outlineLevel="0" collapsed="false">
      <c r="A43" s="43" t="s">
        <v>432</v>
      </c>
    </row>
    <row r="44" customFormat="false" ht="15" hidden="false" customHeight="true" outlineLevel="0" collapsed="false">
      <c r="A44" s="53" t="s">
        <v>433</v>
      </c>
    </row>
    <row r="45" customFormat="false" ht="15" hidden="false" customHeight="true" outlineLevel="0" collapsed="false">
      <c r="A45" s="43" t="s">
        <v>434</v>
      </c>
      <c r="B45" s="1" t="n">
        <v>2027</v>
      </c>
      <c r="C45" s="54" t="n">
        <v>1152112.5</v>
      </c>
      <c r="D45" s="54" t="n">
        <v>2228347.22222222</v>
      </c>
      <c r="E45" s="54" t="n">
        <v>3400000</v>
      </c>
      <c r="F45" s="54" t="n">
        <f aca="false">E45-D45</f>
        <v>1171652.77777778</v>
      </c>
      <c r="G45" s="1" t="str">
        <f aca="false">IF(F45&gt;=0,"yes","NO")</f>
        <v>yes</v>
      </c>
    </row>
    <row r="46" customFormat="false" ht="15" hidden="false" customHeight="true" outlineLevel="0" collapsed="false">
      <c r="B46" s="1" t="n">
        <v>2028</v>
      </c>
      <c r="C46" s="54" t="n">
        <v>845250</v>
      </c>
      <c r="D46" s="54" t="n">
        <v>2248333.33333333</v>
      </c>
      <c r="E46" s="54" t="n">
        <v>3400000</v>
      </c>
      <c r="F46" s="54" t="n">
        <f aca="false">E46-D46</f>
        <v>1151666.66666667</v>
      </c>
      <c r="G46" s="1" t="str">
        <f aca="false">IF(F46&gt;=0,"yes","NO")</f>
        <v>yes</v>
      </c>
    </row>
    <row r="47" customFormat="false" ht="15" hidden="false" customHeight="true" outlineLevel="0" collapsed="false">
      <c r="B47" s="1" t="n">
        <v>2029</v>
      </c>
      <c r="C47" s="54" t="n">
        <v>735000</v>
      </c>
      <c r="D47" s="54" t="n">
        <v>2411666.66666667</v>
      </c>
      <c r="E47" s="54" t="n">
        <v>3500000</v>
      </c>
      <c r="F47" s="54" t="n">
        <f aca="false">E47-D47</f>
        <v>1088333.33333333</v>
      </c>
      <c r="G47" s="1" t="str">
        <f aca="false">IF(F47&gt;=0,"yes","NO")</f>
        <v>yes</v>
      </c>
    </row>
    <row r="48" customFormat="false" ht="15" hidden="false" customHeight="true" outlineLevel="0" collapsed="false">
      <c r="B48" s="1" t="n">
        <v>2030</v>
      </c>
      <c r="C48" s="54" t="n">
        <v>496125</v>
      </c>
      <c r="D48" s="54" t="n">
        <v>2432083.33333333</v>
      </c>
      <c r="E48" s="54" t="n">
        <v>3500000</v>
      </c>
      <c r="F48" s="54" t="n">
        <f aca="false">E48-D48</f>
        <v>1067916.66666667</v>
      </c>
      <c r="G48" s="1" t="str">
        <f aca="false">IF(F48&gt;=0,"yes","NO")</f>
        <v>yes</v>
      </c>
    </row>
    <row r="49" customFormat="false" ht="15" hidden="false" customHeight="true" outlineLevel="0" collapsed="false">
      <c r="B49" s="1" t="n">
        <v>2031</v>
      </c>
      <c r="C49" s="54" t="n">
        <v>551250</v>
      </c>
      <c r="D49" s="54" t="n">
        <v>2289166.66666667</v>
      </c>
      <c r="E49" s="54" t="n">
        <v>3500000</v>
      </c>
      <c r="F49" s="54" t="n">
        <f aca="false">E49-D49</f>
        <v>1210833.33333333</v>
      </c>
      <c r="G49" s="1" t="str">
        <f aca="false">IF(F49&gt;=0,"yes","NO")</f>
        <v>yes</v>
      </c>
    </row>
    <row r="50" customFormat="false" ht="15" hidden="false" customHeight="true" outlineLevel="0" collapsed="false">
      <c r="A50" s="13" t="s">
        <v>401</v>
      </c>
      <c r="C50" s="55" t="n">
        <f aca="false">SUM(C45:C49)</f>
        <v>3779737.5</v>
      </c>
      <c r="D50" s="55" t="n">
        <f aca="false">SUM(D45:D49)</f>
        <v>11609597.2222222</v>
      </c>
      <c r="E50" s="55" t="n">
        <v>17300000</v>
      </c>
      <c r="F50" s="55" t="n">
        <f aca="false">E50-D50</f>
        <v>5690402.77777778</v>
      </c>
    </row>
    <row r="52" customFormat="false" ht="15" hidden="false" customHeight="true" outlineLevel="0" collapsed="false">
      <c r="A52" s="56" t="s">
        <v>435</v>
      </c>
    </row>
    <row r="53" customFormat="false" ht="15" hidden="false" customHeight="true" outlineLevel="0" collapsed="false">
      <c r="B53" s="1" t="n">
        <v>2027</v>
      </c>
      <c r="C53" s="54" t="n">
        <v>0</v>
      </c>
      <c r="D53" s="54" t="n">
        <v>3508472.22222222</v>
      </c>
      <c r="E53" s="54" t="n">
        <v>3400000</v>
      </c>
      <c r="F53" s="54" t="n">
        <f aca="false">E53-D53</f>
        <v>-108472.22222222</v>
      </c>
      <c r="G53" s="1" t="str">
        <f aca="false">IF(F53&gt;=0,"yes","NO")</f>
        <v>NO</v>
      </c>
    </row>
    <row r="54" customFormat="false" ht="15" hidden="false" customHeight="true" outlineLevel="0" collapsed="false">
      <c r="B54" s="1" t="n">
        <v>2028</v>
      </c>
      <c r="C54" s="54" t="n">
        <v>0</v>
      </c>
      <c r="D54" s="54" t="n">
        <v>3187500</v>
      </c>
      <c r="E54" s="54" t="n">
        <v>3400000</v>
      </c>
      <c r="F54" s="54" t="n">
        <f aca="false">E54-D54</f>
        <v>212500</v>
      </c>
      <c r="G54" s="1" t="str">
        <f aca="false">IF(F54&gt;=0,"yes","NO")</f>
        <v>yes</v>
      </c>
    </row>
    <row r="55" customFormat="false" ht="15" hidden="false" customHeight="true" outlineLevel="0" collapsed="false">
      <c r="B55" s="1" t="n">
        <v>2029</v>
      </c>
      <c r="C55" s="54" t="n">
        <v>0</v>
      </c>
      <c r="D55" s="54" t="n">
        <v>3228333.33333333</v>
      </c>
      <c r="E55" s="54" t="n">
        <v>3500000</v>
      </c>
      <c r="F55" s="54" t="n">
        <f aca="false">E55-D55</f>
        <v>271666.66666667</v>
      </c>
      <c r="G55" s="1" t="str">
        <f aca="false">IF(F55&gt;=0,"yes","NO")</f>
        <v>yes</v>
      </c>
    </row>
    <row r="56" customFormat="false" ht="15" hidden="false" customHeight="true" outlineLevel="0" collapsed="false">
      <c r="B56" s="1" t="n">
        <v>2030</v>
      </c>
      <c r="C56" s="54" t="n">
        <v>0</v>
      </c>
      <c r="D56" s="54" t="n">
        <v>2983333.33333333</v>
      </c>
      <c r="E56" s="54" t="n">
        <v>3500000</v>
      </c>
      <c r="F56" s="54" t="n">
        <f aca="false">E56-D56</f>
        <v>516666.66666667</v>
      </c>
      <c r="G56" s="1" t="str">
        <f aca="false">IF(F56&gt;=0,"yes","NO")</f>
        <v>yes</v>
      </c>
    </row>
    <row r="57" customFormat="false" ht="15" hidden="false" customHeight="true" outlineLevel="0" collapsed="false">
      <c r="B57" s="1" t="n">
        <v>2031</v>
      </c>
      <c r="C57" s="54" t="n">
        <v>0</v>
      </c>
      <c r="D57" s="54" t="n">
        <v>2901666.66666667</v>
      </c>
      <c r="E57" s="54" t="n">
        <v>3500000</v>
      </c>
      <c r="F57" s="54" t="n">
        <f aca="false">E57-D57</f>
        <v>598333.33333333</v>
      </c>
      <c r="G57" s="1" t="str">
        <f aca="false">IF(F57&gt;=0,"yes","NO")</f>
        <v>yes</v>
      </c>
    </row>
    <row r="58" customFormat="false" ht="15" hidden="false" customHeight="true" outlineLevel="0" collapsed="false">
      <c r="A58" s="13" t="s">
        <v>401</v>
      </c>
      <c r="C58" s="55" t="n">
        <f aca="false">SUM(C53:C57)</f>
        <v>0</v>
      </c>
      <c r="D58" s="55" t="n">
        <f aca="false">SUM(D53:D57)</f>
        <v>15809305.5555556</v>
      </c>
      <c r="E58" s="55" t="n">
        <v>17300000</v>
      </c>
      <c r="F58" s="55" t="n">
        <f aca="false">E58-D58</f>
        <v>1490694.44444445</v>
      </c>
    </row>
    <row r="60" customFormat="false" ht="15" hidden="false" customHeight="true" outlineLevel="0" collapsed="false">
      <c r="A60" s="57" t="s">
        <v>436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4"/>
    <col collapsed="false" customWidth="true" hidden="false" outlineLevel="0" max="2" min="2" style="1" width="11"/>
    <col collapsed="false" customWidth="true" hidden="false" outlineLevel="0" max="3" min="3" style="1" width="8"/>
    <col collapsed="false" customWidth="true" hidden="false" outlineLevel="0" max="4" min="4" style="1" width="6"/>
    <col collapsed="false" customWidth="true" hidden="false" outlineLevel="0" max="38" min="5" style="1" width="8"/>
  </cols>
  <sheetData>
    <row r="1" customFormat="false" ht="17.25" hidden="false" customHeight="true" outlineLevel="0" collapsed="false">
      <c r="A1" s="2" t="s">
        <v>437</v>
      </c>
    </row>
    <row r="2" customFormat="false" ht="39.75" hidden="false" customHeight="true" outlineLevel="0" collapsed="false">
      <c r="A2" s="58" t="s">
        <v>438</v>
      </c>
      <c r="B2" s="58"/>
      <c r="C2" s="58"/>
      <c r="D2" s="58"/>
      <c r="E2" s="58"/>
      <c r="F2" s="58"/>
      <c r="G2" s="58"/>
      <c r="H2" s="58"/>
      <c r="I2" s="58"/>
      <c r="J2" s="58"/>
      <c r="K2" s="58"/>
      <c r="L2" s="58"/>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row>
    <row r="4" customFormat="false" ht="15" hidden="false" customHeight="true" outlineLevel="0" collapsed="false">
      <c r="A4" s="59" t="s">
        <v>439</v>
      </c>
      <c r="B4" s="59" t="s">
        <v>288</v>
      </c>
      <c r="C4" s="59" t="s">
        <v>440</v>
      </c>
      <c r="D4" s="60" t="s">
        <v>85</v>
      </c>
      <c r="E4" s="59" t="s">
        <v>441</v>
      </c>
      <c r="F4" s="59" t="s">
        <v>442</v>
      </c>
      <c r="G4" s="59" t="s">
        <v>443</v>
      </c>
      <c r="H4" s="61" t="n">
        <v>1</v>
      </c>
      <c r="I4" s="61" t="n">
        <v>2</v>
      </c>
      <c r="J4" s="61" t="n">
        <v>3</v>
      </c>
      <c r="K4" s="61" t="n">
        <v>4</v>
      </c>
      <c r="L4" s="61" t="n">
        <v>5</v>
      </c>
      <c r="M4" s="61" t="n">
        <v>6</v>
      </c>
      <c r="N4" s="61" t="n">
        <v>7</v>
      </c>
      <c r="O4" s="61" t="n">
        <v>8</v>
      </c>
      <c r="P4" s="61" t="n">
        <v>9</v>
      </c>
      <c r="Q4" s="61" t="n">
        <v>10</v>
      </c>
      <c r="R4" s="61" t="n">
        <v>11</v>
      </c>
      <c r="S4" s="61" t="n">
        <v>12</v>
      </c>
      <c r="T4" s="61" t="n">
        <v>13</v>
      </c>
      <c r="U4" s="61" t="n">
        <v>14</v>
      </c>
      <c r="V4" s="61" t="n">
        <v>15</v>
      </c>
      <c r="W4" s="61" t="n">
        <v>16</v>
      </c>
      <c r="X4" s="61" t="n">
        <v>17</v>
      </c>
      <c r="Y4" s="61" t="n">
        <v>18</v>
      </c>
      <c r="Z4" s="61" t="n">
        <v>19</v>
      </c>
      <c r="AA4" s="61" t="n">
        <v>20</v>
      </c>
      <c r="AB4" s="61" t="n">
        <v>21</v>
      </c>
      <c r="AC4" s="61" t="n">
        <v>22</v>
      </c>
      <c r="AD4" s="61" t="n">
        <v>23</v>
      </c>
      <c r="AE4" s="61" t="n">
        <v>24</v>
      </c>
      <c r="AF4" s="61" t="n">
        <v>25</v>
      </c>
      <c r="AG4" s="61" t="n">
        <v>26</v>
      </c>
      <c r="AH4" s="61" t="n">
        <v>27</v>
      </c>
      <c r="AI4" s="61" t="n">
        <v>28</v>
      </c>
      <c r="AJ4" s="61" t="n">
        <v>29</v>
      </c>
      <c r="AK4" s="61" t="n">
        <v>30</v>
      </c>
      <c r="AL4" s="61" t="n">
        <v>31</v>
      </c>
      <c r="AM4" s="61" t="n">
        <v>32</v>
      </c>
      <c r="AN4" s="61" t="n">
        <v>33</v>
      </c>
      <c r="AO4" s="61" t="n">
        <v>34</v>
      </c>
    </row>
    <row r="5" customFormat="false" ht="15" hidden="false" customHeight="true" outlineLevel="0" collapsed="false">
      <c r="A5" s="62" t="s">
        <v>444</v>
      </c>
      <c r="B5" s="31" t="s">
        <v>296</v>
      </c>
      <c r="C5" s="63" t="n">
        <v>3</v>
      </c>
      <c r="D5" s="31" t="n">
        <v>14</v>
      </c>
      <c r="E5" s="27" t="n">
        <v>2.1</v>
      </c>
      <c r="F5" s="28" t="n">
        <v>0.9</v>
      </c>
      <c r="G5" s="31" t="s">
        <v>298</v>
      </c>
      <c r="H5" s="64"/>
      <c r="I5" s="64"/>
      <c r="J5" s="64"/>
      <c r="K5" s="64"/>
      <c r="L5" s="64"/>
      <c r="M5" s="64"/>
      <c r="N5" s="64"/>
      <c r="O5" s="64"/>
      <c r="P5" s="64"/>
      <c r="Q5" s="64"/>
      <c r="R5" s="64"/>
      <c r="S5" s="64"/>
      <c r="T5" s="64"/>
      <c r="U5" s="64"/>
    </row>
    <row r="6" customFormat="false" ht="15" hidden="false" customHeight="true" outlineLevel="0" collapsed="false">
      <c r="A6" s="62" t="s">
        <v>445</v>
      </c>
      <c r="B6" s="31" t="s">
        <v>296</v>
      </c>
      <c r="C6" s="63" t="n">
        <v>2.5</v>
      </c>
      <c r="D6" s="31" t="n">
        <v>12</v>
      </c>
      <c r="E6" s="27" t="n">
        <v>1.75</v>
      </c>
      <c r="F6" s="28" t="n">
        <v>0.75</v>
      </c>
      <c r="G6" s="31" t="s">
        <v>298</v>
      </c>
      <c r="H6" s="64"/>
      <c r="I6" s="64"/>
      <c r="J6" s="64"/>
      <c r="K6" s="64"/>
      <c r="L6" s="64"/>
      <c r="M6" s="64"/>
      <c r="N6" s="64"/>
      <c r="O6" s="64"/>
      <c r="P6" s="64"/>
      <c r="Q6" s="64"/>
      <c r="R6" s="64"/>
      <c r="S6" s="64"/>
    </row>
    <row r="7" customFormat="false" ht="15" hidden="false" customHeight="true" outlineLevel="0" collapsed="false">
      <c r="A7" s="62" t="s">
        <v>446</v>
      </c>
      <c r="B7" s="31" t="s">
        <v>296</v>
      </c>
      <c r="C7" s="63" t="n">
        <v>1</v>
      </c>
      <c r="D7" s="31" t="n">
        <v>10</v>
      </c>
      <c r="E7" s="27" t="n">
        <v>0.7</v>
      </c>
      <c r="F7" s="28" t="n">
        <v>0.3</v>
      </c>
      <c r="G7" s="31" t="s">
        <v>298</v>
      </c>
      <c r="H7" s="64"/>
      <c r="I7" s="64"/>
      <c r="J7" s="64"/>
      <c r="K7" s="64"/>
      <c r="L7" s="64"/>
      <c r="M7" s="64"/>
      <c r="N7" s="64"/>
      <c r="O7" s="64"/>
      <c r="P7" s="64"/>
      <c r="Q7" s="64"/>
    </row>
    <row r="8" customFormat="false" ht="15" hidden="false" customHeight="true" outlineLevel="0" collapsed="false">
      <c r="A8" s="62" t="s">
        <v>447</v>
      </c>
      <c r="B8" s="31" t="s">
        <v>296</v>
      </c>
      <c r="C8" s="63" t="n">
        <v>1.5</v>
      </c>
      <c r="D8" s="31" t="n">
        <v>11</v>
      </c>
      <c r="E8" s="27" t="n">
        <v>1.05</v>
      </c>
      <c r="F8" s="28" t="n">
        <v>0.45</v>
      </c>
      <c r="G8" s="31" t="s">
        <v>298</v>
      </c>
      <c r="I8" s="64"/>
      <c r="J8" s="64"/>
      <c r="K8" s="64"/>
      <c r="L8" s="64"/>
      <c r="M8" s="64"/>
      <c r="N8" s="64"/>
      <c r="O8" s="64"/>
      <c r="P8" s="64"/>
      <c r="Q8" s="64"/>
      <c r="R8" s="64"/>
      <c r="S8" s="64"/>
    </row>
    <row r="9" customFormat="false" ht="15" hidden="false" customHeight="true" outlineLevel="0" collapsed="false">
      <c r="A9" s="62" t="s">
        <v>448</v>
      </c>
      <c r="B9" s="31" t="s">
        <v>296</v>
      </c>
      <c r="C9" s="63" t="n">
        <v>1.5</v>
      </c>
      <c r="D9" s="31" t="n">
        <v>11</v>
      </c>
      <c r="E9" s="27" t="n">
        <v>1.05</v>
      </c>
      <c r="F9" s="28" t="n">
        <v>0.45</v>
      </c>
      <c r="G9" s="31" t="s">
        <v>298</v>
      </c>
      <c r="I9" s="64"/>
      <c r="J9" s="64"/>
      <c r="K9" s="64"/>
      <c r="L9" s="64"/>
      <c r="M9" s="64"/>
      <c r="N9" s="64"/>
      <c r="O9" s="64"/>
      <c r="P9" s="64"/>
      <c r="Q9" s="64"/>
      <c r="R9" s="64"/>
      <c r="S9" s="64"/>
    </row>
    <row r="10" customFormat="false" ht="15" hidden="false" customHeight="true" outlineLevel="0" collapsed="false">
      <c r="A10" s="62" t="s">
        <v>449</v>
      </c>
      <c r="B10" s="31" t="s">
        <v>308</v>
      </c>
      <c r="C10" s="63" t="n">
        <v>3</v>
      </c>
      <c r="D10" s="31" t="n">
        <v>11</v>
      </c>
      <c r="E10" s="27" t="n">
        <v>2.25</v>
      </c>
      <c r="F10" s="28" t="n">
        <v>0.75</v>
      </c>
      <c r="G10" s="31" t="s">
        <v>310</v>
      </c>
      <c r="K10" s="65"/>
      <c r="L10" s="65"/>
      <c r="M10" s="65"/>
      <c r="N10" s="65"/>
      <c r="O10" s="65"/>
      <c r="P10" s="65"/>
      <c r="Q10" s="65"/>
      <c r="R10" s="65"/>
      <c r="S10" s="65"/>
      <c r="T10" s="65"/>
      <c r="U10" s="65"/>
    </row>
    <row r="11" customFormat="false" ht="15" hidden="false" customHeight="true" outlineLevel="0" collapsed="false">
      <c r="A11" s="62" t="s">
        <v>253</v>
      </c>
      <c r="B11" s="31" t="s">
        <v>308</v>
      </c>
      <c r="C11" s="63" t="n">
        <v>3</v>
      </c>
      <c r="D11" s="31" t="n">
        <v>10</v>
      </c>
      <c r="E11" s="27" t="n">
        <v>2.25</v>
      </c>
      <c r="F11" s="28" t="n">
        <v>0.75</v>
      </c>
      <c r="G11" s="31" t="s">
        <v>310</v>
      </c>
      <c r="K11" s="65"/>
      <c r="L11" s="65"/>
      <c r="M11" s="65"/>
      <c r="N11" s="65"/>
      <c r="O11" s="65"/>
      <c r="P11" s="65"/>
      <c r="Q11" s="65"/>
      <c r="R11" s="65"/>
      <c r="S11" s="65"/>
      <c r="T11" s="65"/>
    </row>
    <row r="12" customFormat="false" ht="15" hidden="false" customHeight="true" outlineLevel="0" collapsed="false">
      <c r="A12" s="66" t="s">
        <v>450</v>
      </c>
      <c r="B12" s="31" t="s">
        <v>451</v>
      </c>
      <c r="C12" s="23"/>
      <c r="D12" s="31" t="n">
        <v>1</v>
      </c>
      <c r="U12" s="67"/>
    </row>
    <row r="13" customFormat="false" ht="15" hidden="false" customHeight="true" outlineLevel="0" collapsed="false">
      <c r="A13" s="62" t="s">
        <v>452</v>
      </c>
      <c r="B13" s="31" t="s">
        <v>313</v>
      </c>
      <c r="C13" s="63" t="n">
        <v>4</v>
      </c>
      <c r="D13" s="31" t="n">
        <v>13</v>
      </c>
      <c r="E13" s="27" t="n">
        <v>1.5</v>
      </c>
      <c r="F13" s="28" t="n">
        <v>2.5</v>
      </c>
      <c r="G13" s="31" t="s">
        <v>315</v>
      </c>
      <c r="M13" s="68"/>
      <c r="N13" s="68"/>
      <c r="O13" s="68"/>
      <c r="P13" s="68"/>
      <c r="Q13" s="68"/>
      <c r="R13" s="68"/>
      <c r="S13" s="68"/>
      <c r="T13" s="68"/>
      <c r="U13" s="68"/>
      <c r="V13" s="68"/>
      <c r="W13" s="68"/>
      <c r="X13" s="68"/>
      <c r="Y13" s="68"/>
    </row>
    <row r="14" customFormat="false" ht="15" hidden="false" customHeight="true" outlineLevel="0" collapsed="false">
      <c r="A14" s="62" t="s">
        <v>453</v>
      </c>
      <c r="B14" s="31" t="s">
        <v>313</v>
      </c>
      <c r="C14" s="63" t="n">
        <v>2.5</v>
      </c>
      <c r="D14" s="31" t="n">
        <v>9</v>
      </c>
      <c r="E14" s="27" t="n">
        <v>2</v>
      </c>
      <c r="F14" s="28" t="n">
        <v>0.5</v>
      </c>
      <c r="G14" s="31" t="s">
        <v>315</v>
      </c>
      <c r="O14" s="68"/>
      <c r="P14" s="68"/>
      <c r="Q14" s="68"/>
      <c r="R14" s="68"/>
      <c r="S14" s="68"/>
      <c r="T14" s="68"/>
      <c r="U14" s="68"/>
      <c r="V14" s="68"/>
      <c r="W14" s="68"/>
    </row>
    <row r="15" customFormat="false" ht="15" hidden="false" customHeight="true" outlineLevel="0" collapsed="false">
      <c r="A15" s="62" t="s">
        <v>454</v>
      </c>
      <c r="B15" s="31" t="s">
        <v>313</v>
      </c>
      <c r="C15" s="63" t="n">
        <v>5</v>
      </c>
      <c r="D15" s="31" t="n">
        <v>13</v>
      </c>
      <c r="E15" s="27" t="n">
        <v>3.75</v>
      </c>
      <c r="F15" s="28" t="n">
        <v>1.25</v>
      </c>
      <c r="G15" s="31" t="s">
        <v>315</v>
      </c>
      <c r="Q15" s="68"/>
      <c r="R15" s="68"/>
      <c r="S15" s="68"/>
      <c r="T15" s="68"/>
      <c r="U15" s="68"/>
      <c r="V15" s="68"/>
      <c r="W15" s="68"/>
      <c r="X15" s="68"/>
      <c r="Y15" s="68"/>
      <c r="Z15" s="68"/>
      <c r="AA15" s="68"/>
      <c r="AB15" s="68"/>
      <c r="AC15" s="68"/>
    </row>
    <row r="16" customFormat="false" ht="15" hidden="false" customHeight="true" outlineLevel="0" collapsed="false">
      <c r="A16" s="62" t="s">
        <v>455</v>
      </c>
      <c r="B16" s="31" t="s">
        <v>313</v>
      </c>
      <c r="C16" s="63" t="n">
        <v>8</v>
      </c>
      <c r="D16" s="31" t="n">
        <v>17</v>
      </c>
      <c r="E16" s="27" t="n">
        <v>6</v>
      </c>
      <c r="F16" s="28" t="n">
        <v>2</v>
      </c>
      <c r="G16" s="31" t="s">
        <v>315</v>
      </c>
      <c r="O16" s="68"/>
      <c r="P16" s="68"/>
      <c r="Q16" s="68"/>
      <c r="R16" s="68"/>
      <c r="S16" s="68"/>
      <c r="T16" s="68"/>
      <c r="U16" s="68"/>
      <c r="V16" s="68"/>
      <c r="W16" s="68"/>
      <c r="X16" s="68"/>
      <c r="Y16" s="68"/>
      <c r="Z16" s="68"/>
      <c r="AA16" s="68"/>
      <c r="AB16" s="68"/>
      <c r="AC16" s="68"/>
      <c r="AD16" s="68"/>
      <c r="AE16" s="68"/>
    </row>
    <row r="17" customFormat="false" ht="15" hidden="false" customHeight="true" outlineLevel="0" collapsed="false">
      <c r="A17" s="62" t="s">
        <v>456</v>
      </c>
      <c r="B17" s="31" t="s">
        <v>313</v>
      </c>
      <c r="C17" s="63" t="n">
        <v>2</v>
      </c>
      <c r="D17" s="31" t="n">
        <v>9</v>
      </c>
      <c r="E17" s="27" t="n">
        <v>1.5</v>
      </c>
      <c r="F17" s="28" t="n">
        <v>0.5</v>
      </c>
      <c r="G17" s="31" t="s">
        <v>315</v>
      </c>
      <c r="S17" s="68"/>
      <c r="T17" s="68"/>
      <c r="U17" s="68"/>
      <c r="V17" s="68"/>
      <c r="W17" s="68"/>
      <c r="X17" s="68"/>
      <c r="Y17" s="68"/>
      <c r="Z17" s="68"/>
      <c r="AA17" s="68"/>
    </row>
    <row r="18" customFormat="false" ht="15" hidden="false" customHeight="true" outlineLevel="0" collapsed="false">
      <c r="A18" s="62" t="s">
        <v>457</v>
      </c>
      <c r="B18" s="31" t="s">
        <v>313</v>
      </c>
      <c r="C18" s="63" t="n">
        <v>2</v>
      </c>
      <c r="D18" s="31" t="n">
        <v>10</v>
      </c>
      <c r="E18" s="27" t="n">
        <v>0.5</v>
      </c>
      <c r="F18" s="28" t="n">
        <v>1.5</v>
      </c>
      <c r="G18" s="31" t="s">
        <v>315</v>
      </c>
      <c r="S18" s="68"/>
      <c r="T18" s="68"/>
      <c r="U18" s="68"/>
      <c r="V18" s="68"/>
      <c r="W18" s="68"/>
      <c r="X18" s="68"/>
      <c r="Y18" s="68"/>
      <c r="Z18" s="68"/>
      <c r="AA18" s="68"/>
      <c r="AB18" s="68"/>
    </row>
    <row r="19" customFormat="false" ht="15" hidden="false" customHeight="true" outlineLevel="0" collapsed="false">
      <c r="A19" s="62" t="s">
        <v>458</v>
      </c>
      <c r="B19" s="31" t="s">
        <v>313</v>
      </c>
      <c r="C19" s="63" t="n">
        <v>1</v>
      </c>
      <c r="D19" s="31" t="n">
        <v>5</v>
      </c>
      <c r="E19" s="27" t="n">
        <v>0.25</v>
      </c>
      <c r="F19" s="28" t="n">
        <v>0.75</v>
      </c>
      <c r="G19" s="31" t="s">
        <v>315</v>
      </c>
      <c r="U19" s="68"/>
      <c r="V19" s="68"/>
      <c r="W19" s="68"/>
      <c r="X19" s="68"/>
      <c r="Y19" s="68"/>
    </row>
    <row r="20" customFormat="false" ht="15" hidden="false" customHeight="true" outlineLevel="0" collapsed="false">
      <c r="A20" s="62" t="s">
        <v>459</v>
      </c>
      <c r="B20" s="31" t="s">
        <v>328</v>
      </c>
      <c r="C20" s="63" t="n">
        <v>3</v>
      </c>
      <c r="D20" s="31" t="n">
        <v>16</v>
      </c>
      <c r="E20" s="27" t="n">
        <v>2.1</v>
      </c>
      <c r="F20" s="28" t="n">
        <v>0.9</v>
      </c>
      <c r="G20" s="31" t="s">
        <v>330</v>
      </c>
      <c r="Q20" s="69"/>
      <c r="R20" s="69"/>
      <c r="S20" s="69"/>
      <c r="T20" s="69"/>
      <c r="U20" s="69"/>
      <c r="V20" s="69"/>
      <c r="W20" s="69"/>
      <c r="X20" s="69"/>
      <c r="Y20" s="69"/>
      <c r="Z20" s="69"/>
      <c r="AA20" s="69"/>
      <c r="AB20" s="69"/>
      <c r="AC20" s="69"/>
      <c r="AD20" s="69"/>
      <c r="AE20" s="69"/>
      <c r="AF20" s="69"/>
    </row>
    <row r="21" customFormat="false" ht="15" hidden="false" customHeight="true" outlineLevel="0" collapsed="false">
      <c r="A21" s="62" t="s">
        <v>460</v>
      </c>
      <c r="B21" s="31" t="s">
        <v>328</v>
      </c>
      <c r="C21" s="63" t="n">
        <v>1.5</v>
      </c>
      <c r="D21" s="31" t="n">
        <v>15</v>
      </c>
      <c r="E21" s="27" t="n">
        <v>0.6</v>
      </c>
      <c r="F21" s="28" t="n">
        <v>0.9</v>
      </c>
      <c r="G21" s="31" t="s">
        <v>330</v>
      </c>
      <c r="M21" s="69"/>
      <c r="N21" s="69"/>
      <c r="O21" s="69"/>
      <c r="P21" s="69"/>
      <c r="Q21" s="69"/>
      <c r="R21" s="69"/>
      <c r="S21" s="69"/>
      <c r="T21" s="69"/>
      <c r="U21" s="69"/>
      <c r="V21" s="69"/>
      <c r="W21" s="69"/>
      <c r="X21" s="69"/>
      <c r="Y21" s="69"/>
      <c r="Z21" s="69"/>
      <c r="AA21" s="69"/>
    </row>
    <row r="22" customFormat="false" ht="15" hidden="false" customHeight="true" outlineLevel="0" collapsed="false">
      <c r="A22" s="62" t="s">
        <v>461</v>
      </c>
      <c r="B22" s="31" t="s">
        <v>462</v>
      </c>
      <c r="C22" s="63" t="n">
        <v>4</v>
      </c>
      <c r="D22" s="31" t="n">
        <v>24</v>
      </c>
      <c r="E22" s="27" t="n">
        <v>2</v>
      </c>
      <c r="F22" s="28" t="n">
        <v>2</v>
      </c>
      <c r="G22" s="31" t="s">
        <v>330</v>
      </c>
      <c r="H22" s="70"/>
      <c r="I22" s="70"/>
      <c r="J22" s="70"/>
      <c r="K22" s="70"/>
      <c r="L22" s="70"/>
      <c r="M22" s="70"/>
      <c r="N22" s="70"/>
      <c r="O22" s="70"/>
      <c r="P22" s="70"/>
      <c r="Q22" s="70"/>
      <c r="R22" s="70"/>
      <c r="S22" s="70"/>
      <c r="T22" s="70"/>
      <c r="U22" s="70"/>
      <c r="V22" s="70"/>
      <c r="W22" s="70"/>
      <c r="X22" s="70"/>
      <c r="Y22" s="70"/>
      <c r="Z22" s="70"/>
      <c r="AA22" s="70"/>
      <c r="AB22" s="70"/>
      <c r="AC22" s="70"/>
      <c r="AD22" s="70"/>
      <c r="AE22" s="70"/>
    </row>
    <row r="23" customFormat="false" ht="15" hidden="false" customHeight="true" outlineLevel="0" collapsed="false">
      <c r="A23" s="66" t="s">
        <v>463</v>
      </c>
      <c r="B23" s="31" t="s">
        <v>451</v>
      </c>
      <c r="C23" s="23"/>
      <c r="D23" s="31" t="n">
        <v>1</v>
      </c>
      <c r="AE23" s="67"/>
    </row>
    <row r="24" customFormat="false" ht="15" hidden="false" customHeight="true" outlineLevel="0" collapsed="false">
      <c r="A24" s="62" t="s">
        <v>464</v>
      </c>
      <c r="B24" s="31" t="s">
        <v>462</v>
      </c>
      <c r="C24" s="63" t="n">
        <v>10</v>
      </c>
      <c r="D24" s="31" t="n">
        <v>13</v>
      </c>
      <c r="E24" s="27" t="n">
        <v>0</v>
      </c>
      <c r="F24" s="28" t="n">
        <v>10</v>
      </c>
      <c r="G24" s="31" t="s">
        <v>338</v>
      </c>
      <c r="U24" s="70"/>
      <c r="V24" s="70"/>
      <c r="W24" s="70"/>
      <c r="X24" s="70"/>
      <c r="Y24" s="70"/>
      <c r="Z24" s="70"/>
      <c r="AA24" s="70"/>
      <c r="AB24" s="70"/>
      <c r="AC24" s="70"/>
      <c r="AD24" s="70"/>
      <c r="AE24" s="70"/>
      <c r="AF24" s="70"/>
      <c r="AG24" s="70"/>
    </row>
    <row r="25" customFormat="false" ht="15" hidden="false" customHeight="true" outlineLevel="0" collapsed="false">
      <c r="A25" s="62" t="s">
        <v>465</v>
      </c>
      <c r="B25" s="31" t="s">
        <v>462</v>
      </c>
      <c r="C25" s="63" t="n">
        <v>8</v>
      </c>
      <c r="D25" s="31" t="n">
        <v>34</v>
      </c>
      <c r="E25" s="27" t="n">
        <v>0</v>
      </c>
      <c r="F25" s="28" t="n">
        <v>8</v>
      </c>
      <c r="G25" s="31" t="s">
        <v>338</v>
      </c>
      <c r="H25" s="70"/>
      <c r="I25" s="70"/>
      <c r="J25" s="70"/>
      <c r="K25" s="70"/>
      <c r="L25" s="70"/>
      <c r="M25" s="70"/>
      <c r="N25" s="70"/>
      <c r="O25" s="70"/>
      <c r="P25" s="70"/>
      <c r="Q25" s="70"/>
      <c r="R25" s="70"/>
      <c r="S25" s="70"/>
      <c r="T25" s="70"/>
      <c r="U25" s="70"/>
      <c r="V25" s="70"/>
      <c r="W25" s="70"/>
      <c r="X25" s="70"/>
      <c r="Y25" s="70"/>
      <c r="Z25" s="70"/>
      <c r="AA25" s="70"/>
      <c r="AB25" s="70"/>
      <c r="AC25" s="70"/>
      <c r="AD25" s="70"/>
      <c r="AE25" s="70"/>
      <c r="AF25" s="70"/>
      <c r="AG25" s="70"/>
      <c r="AH25" s="70"/>
      <c r="AI25" s="70"/>
      <c r="AJ25" s="70"/>
      <c r="AK25" s="70"/>
      <c r="AL25" s="70"/>
      <c r="AM25" s="70"/>
      <c r="AN25" s="70"/>
      <c r="AO25" s="70"/>
    </row>
    <row r="26" customFormat="false" ht="15" hidden="false" customHeight="true" outlineLevel="0" collapsed="false">
      <c r="A26" s="66" t="s">
        <v>466</v>
      </c>
      <c r="B26" s="31" t="s">
        <v>451</v>
      </c>
      <c r="C26" s="23"/>
      <c r="D26" s="31" t="n">
        <v>1</v>
      </c>
      <c r="AG26" s="67"/>
    </row>
    <row r="27" customFormat="false" ht="15" hidden="false" customHeight="true" outlineLevel="0" collapsed="false">
      <c r="A27" s="62" t="s">
        <v>467</v>
      </c>
      <c r="B27" s="31" t="s">
        <v>462</v>
      </c>
      <c r="C27" s="63" t="n">
        <v>5</v>
      </c>
      <c r="D27" s="31" t="n">
        <v>9</v>
      </c>
      <c r="E27" s="27" t="n">
        <v>0</v>
      </c>
      <c r="F27" s="28" t="n">
        <v>5</v>
      </c>
      <c r="G27" s="31" t="s">
        <v>338</v>
      </c>
      <c r="AG27" s="70"/>
      <c r="AH27" s="70"/>
      <c r="AI27" s="70"/>
      <c r="AJ27" s="70"/>
      <c r="AK27" s="70"/>
      <c r="AL27" s="70"/>
      <c r="AM27" s="70"/>
      <c r="AN27" s="70"/>
      <c r="AO27" s="70"/>
    </row>
    <row r="28" customFormat="false" ht="15" hidden="false" customHeight="true" outlineLevel="0" collapsed="false">
      <c r="A28" s="66" t="s">
        <v>468</v>
      </c>
      <c r="B28" s="31" t="s">
        <v>451</v>
      </c>
      <c r="C28" s="23"/>
      <c r="D28" s="31" t="n">
        <v>1</v>
      </c>
      <c r="AO28" s="67"/>
    </row>
    <row r="29" customFormat="false" ht="15" hidden="false" customHeight="true" outlineLevel="0" collapsed="false">
      <c r="A29" s="33" t="s">
        <v>349</v>
      </c>
      <c r="B29" s="32"/>
      <c r="C29" s="71" t="n">
        <f aca="false">SUM(C5:C28)</f>
        <v>71.5</v>
      </c>
      <c r="D29" s="32"/>
      <c r="E29" s="72" t="n">
        <f aca="false">SUM(E5:E28)</f>
        <v>31.35</v>
      </c>
      <c r="F29" s="72" t="n">
        <f aca="false">SUM(F5:F28)</f>
        <v>40.15</v>
      </c>
    </row>
    <row r="31" customFormat="false" ht="15" hidden="false" customHeight="true" outlineLevel="0" collapsed="false">
      <c r="A31" s="6" t="s">
        <v>469</v>
      </c>
    </row>
    <row r="32" customFormat="false" ht="15" hidden="false" customHeight="true" outlineLevel="0" collapsed="false">
      <c r="A32" s="73" t="s">
        <v>470</v>
      </c>
    </row>
    <row r="33" customFormat="false" ht="15" hidden="false" customHeight="true" outlineLevel="0" collapsed="false">
      <c r="A33" s="73" t="s">
        <v>471</v>
      </c>
    </row>
    <row r="34" customFormat="false" ht="15" hidden="false" customHeight="true" outlineLevel="0" collapsed="false">
      <c r="A34" s="73" t="s">
        <v>472</v>
      </c>
    </row>
  </sheetData>
  <mergeCells count="1">
    <mergeCell ref="A2:AZ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24"/>
    <col collapsed="false" customWidth="true" hidden="false" outlineLevel="0" max="3" min="3" style="1" width="20"/>
    <col collapsed="false" customWidth="true" hidden="false" outlineLevel="0" max="4" min="4" style="1" width="13"/>
    <col collapsed="false" customWidth="true" hidden="false" outlineLevel="0" max="5" min="5" style="1" width="18"/>
    <col collapsed="false" customWidth="true" hidden="false" outlineLevel="0" max="6" min="6" style="1" width="62"/>
    <col collapsed="false" customWidth="true" hidden="false" outlineLevel="0" max="7" min="7" style="1" width="30"/>
  </cols>
  <sheetData>
    <row r="1" customFormat="false" ht="17.25" hidden="false" customHeight="true" outlineLevel="0" collapsed="false">
      <c r="A1" s="2" t="s">
        <v>473</v>
      </c>
    </row>
    <row r="2" customFormat="false" ht="31.5" hidden="false" customHeight="true" outlineLevel="0" collapsed="false">
      <c r="A2" s="58" t="s">
        <v>474</v>
      </c>
      <c r="B2" s="58"/>
      <c r="C2" s="58"/>
      <c r="D2" s="58"/>
      <c r="E2" s="58"/>
      <c r="F2" s="58"/>
    </row>
    <row r="4" customFormat="false" ht="30" hidden="false" customHeight="true" outlineLevel="0" collapsed="false">
      <c r="A4" s="25" t="s">
        <v>475</v>
      </c>
      <c r="B4" s="25" t="s">
        <v>476</v>
      </c>
      <c r="C4" s="25" t="s">
        <v>477</v>
      </c>
      <c r="D4" s="25" t="s">
        <v>478</v>
      </c>
      <c r="E4" s="25" t="s">
        <v>479</v>
      </c>
      <c r="F4" s="25" t="s">
        <v>480</v>
      </c>
      <c r="G4" s="25" t="s">
        <v>481</v>
      </c>
    </row>
    <row r="5" customFormat="false" ht="24" hidden="false" customHeight="true" outlineLevel="0" collapsed="false">
      <c r="A5" s="17" t="s">
        <v>482</v>
      </c>
      <c r="B5" s="74" t="s">
        <v>483</v>
      </c>
      <c r="C5" s="74" t="s">
        <v>484</v>
      </c>
      <c r="D5" s="75" t="n">
        <v>5</v>
      </c>
      <c r="E5" s="37" t="n">
        <f aca="false">D5*Assumptions!$B$10</f>
        <v>183750</v>
      </c>
      <c r="F5" s="26" t="s">
        <v>485</v>
      </c>
      <c r="G5" s="76" t="s">
        <v>486</v>
      </c>
    </row>
    <row r="6" customFormat="false" ht="13.5" hidden="false" customHeight="true" outlineLevel="0" collapsed="false">
      <c r="A6" s="17" t="s">
        <v>487</v>
      </c>
      <c r="B6" s="74" t="s">
        <v>488</v>
      </c>
      <c r="C6" s="74" t="s">
        <v>484</v>
      </c>
      <c r="D6" s="75" t="n">
        <v>3</v>
      </c>
      <c r="E6" s="37" t="n">
        <f aca="false">D6*Assumptions!$B$10</f>
        <v>110250</v>
      </c>
      <c r="F6" s="26" t="s">
        <v>489</v>
      </c>
      <c r="G6" s="76" t="s">
        <v>486</v>
      </c>
    </row>
    <row r="7" customFormat="false" ht="13.5" hidden="false" customHeight="true" outlineLevel="0" collapsed="false">
      <c r="A7" s="17" t="s">
        <v>490</v>
      </c>
      <c r="B7" s="74" t="s">
        <v>491</v>
      </c>
      <c r="C7" s="74" t="s">
        <v>484</v>
      </c>
      <c r="D7" s="75" t="n">
        <v>2</v>
      </c>
      <c r="E7" s="37" t="n">
        <f aca="false">D7*Assumptions!$B$10</f>
        <v>73500</v>
      </c>
      <c r="F7" s="26" t="s">
        <v>492</v>
      </c>
      <c r="G7" s="26" t="s">
        <v>493</v>
      </c>
    </row>
    <row r="8" customFormat="false" ht="24" hidden="false" customHeight="true" outlineLevel="0" collapsed="false">
      <c r="A8" s="17" t="s">
        <v>494</v>
      </c>
      <c r="B8" s="74" t="s">
        <v>495</v>
      </c>
      <c r="C8" s="74" t="s">
        <v>484</v>
      </c>
      <c r="D8" s="75" t="n">
        <v>7</v>
      </c>
      <c r="E8" s="37" t="n">
        <f aca="false">D8*Assumptions!$B$10</f>
        <v>257250</v>
      </c>
      <c r="F8" s="26" t="s">
        <v>496</v>
      </c>
      <c r="G8" s="26" t="s">
        <v>497</v>
      </c>
    </row>
    <row r="9" customFormat="false" ht="24" hidden="false" customHeight="true" outlineLevel="0" collapsed="false">
      <c r="A9" s="17" t="s">
        <v>498</v>
      </c>
      <c r="B9" s="74" t="s">
        <v>499</v>
      </c>
      <c r="C9" s="74" t="s">
        <v>484</v>
      </c>
      <c r="D9" s="75" t="n">
        <v>3</v>
      </c>
      <c r="E9" s="37" t="n">
        <f aca="false">D9*Assumptions!$B$10</f>
        <v>110250</v>
      </c>
      <c r="F9" s="26" t="s">
        <v>500</v>
      </c>
      <c r="G9" s="76" t="s">
        <v>501</v>
      </c>
    </row>
    <row r="10" customFormat="false" ht="24" hidden="false" customHeight="true" outlineLevel="0" collapsed="false">
      <c r="A10" s="17" t="s">
        <v>502</v>
      </c>
      <c r="B10" s="74" t="s">
        <v>503</v>
      </c>
      <c r="C10" s="74" t="s">
        <v>484</v>
      </c>
      <c r="D10" s="75" t="n">
        <v>3</v>
      </c>
      <c r="E10" s="37" t="n">
        <f aca="false">D10*Assumptions!$B$10</f>
        <v>110250</v>
      </c>
      <c r="F10" s="26" t="s">
        <v>504</v>
      </c>
      <c r="G10" s="26" t="s">
        <v>505</v>
      </c>
    </row>
    <row r="11" customFormat="false" ht="24" hidden="false" customHeight="true" outlineLevel="0" collapsed="false">
      <c r="A11" s="17" t="s">
        <v>506</v>
      </c>
      <c r="B11" s="74"/>
      <c r="C11" s="74" t="s">
        <v>484</v>
      </c>
      <c r="D11" s="75" t="n">
        <v>5</v>
      </c>
      <c r="E11" s="37" t="n">
        <f aca="false">D11*Assumptions!$B$10</f>
        <v>183750</v>
      </c>
      <c r="F11" s="26" t="s">
        <v>507</v>
      </c>
      <c r="G11" s="26" t="s">
        <v>508</v>
      </c>
    </row>
    <row r="12" customFormat="false" ht="13.5" hidden="false" customHeight="true" outlineLevel="0" collapsed="false">
      <c r="A12" s="17" t="s">
        <v>509</v>
      </c>
      <c r="B12" s="74"/>
      <c r="C12" s="74" t="s">
        <v>484</v>
      </c>
      <c r="D12" s="75" t="n">
        <v>2</v>
      </c>
      <c r="E12" s="37" t="n">
        <f aca="false">D12*Assumptions!$B$10</f>
        <v>73500</v>
      </c>
      <c r="F12" s="26" t="s">
        <v>510</v>
      </c>
      <c r="G12" s="26" t="s">
        <v>511</v>
      </c>
    </row>
    <row r="13" customFormat="false" ht="13.5" hidden="false" customHeight="true" outlineLevel="0" collapsed="false">
      <c r="A13" s="17" t="s">
        <v>512</v>
      </c>
      <c r="B13" s="74"/>
      <c r="C13" s="74" t="s">
        <v>484</v>
      </c>
      <c r="D13" s="75" t="n">
        <v>1.5</v>
      </c>
      <c r="E13" s="37" t="n">
        <f aca="false">D13*Assumptions!$B$10</f>
        <v>55125</v>
      </c>
      <c r="F13" s="26" t="s">
        <v>513</v>
      </c>
      <c r="G13" s="77" t="s">
        <v>514</v>
      </c>
    </row>
    <row r="14" customFormat="false" ht="24" hidden="false" customHeight="true" outlineLevel="0" collapsed="false">
      <c r="A14" s="17" t="s">
        <v>515</v>
      </c>
      <c r="B14" s="74"/>
      <c r="C14" s="74" t="s">
        <v>484</v>
      </c>
      <c r="D14" s="75" t="n">
        <v>1</v>
      </c>
      <c r="E14" s="37" t="n">
        <f aca="false">D14*Assumptions!$B$10</f>
        <v>36750</v>
      </c>
      <c r="F14" s="26" t="s">
        <v>516</v>
      </c>
      <c r="G14" s="76" t="s">
        <v>517</v>
      </c>
    </row>
    <row r="15" customFormat="false" ht="24" hidden="false" customHeight="true" outlineLevel="0" collapsed="false">
      <c r="A15" s="17" t="s">
        <v>518</v>
      </c>
      <c r="B15" s="74"/>
      <c r="C15" s="74" t="s">
        <v>519</v>
      </c>
      <c r="D15" s="75" t="n">
        <v>8</v>
      </c>
      <c r="E15" s="37" t="n">
        <f aca="false">D15*Assumptions!$B$10</f>
        <v>294000</v>
      </c>
      <c r="F15" s="26" t="s">
        <v>520</v>
      </c>
      <c r="G15" s="26" t="s">
        <v>521</v>
      </c>
    </row>
    <row r="16" customFormat="false" ht="24" hidden="false" customHeight="true" outlineLevel="0" collapsed="false">
      <c r="A16" s="17" t="s">
        <v>522</v>
      </c>
      <c r="B16" s="74"/>
      <c r="C16" s="74" t="s">
        <v>519</v>
      </c>
      <c r="D16" s="75" t="n">
        <v>8</v>
      </c>
      <c r="E16" s="37" t="n">
        <f aca="false">D16*Assumptions!$B$10</f>
        <v>294000</v>
      </c>
      <c r="F16" s="26" t="s">
        <v>523</v>
      </c>
      <c r="G16" s="26" t="s">
        <v>524</v>
      </c>
    </row>
    <row r="17" customFormat="false" ht="24" hidden="false" customHeight="true" outlineLevel="0" collapsed="false">
      <c r="A17" s="21" t="s">
        <v>525</v>
      </c>
      <c r="B17" s="74"/>
      <c r="C17" s="74" t="s">
        <v>519</v>
      </c>
      <c r="D17" s="75" t="n">
        <v>8</v>
      </c>
      <c r="E17" s="37" t="n">
        <f aca="false">D17*Assumptions!$B$10</f>
        <v>294000</v>
      </c>
      <c r="F17" s="26" t="s">
        <v>526</v>
      </c>
      <c r="G17" s="77" t="s">
        <v>527</v>
      </c>
    </row>
    <row r="18" customFormat="false" ht="13.5" hidden="false" customHeight="true" outlineLevel="0" collapsed="false">
      <c r="A18" s="17" t="s">
        <v>528</v>
      </c>
      <c r="B18" s="74"/>
      <c r="C18" s="74" t="s">
        <v>519</v>
      </c>
      <c r="D18" s="75" t="n">
        <v>5</v>
      </c>
      <c r="E18" s="37" t="n">
        <f aca="false">D18*Assumptions!$B$10</f>
        <v>183750</v>
      </c>
      <c r="F18" s="26" t="s">
        <v>529</v>
      </c>
      <c r="G18" s="26" t="s">
        <v>511</v>
      </c>
    </row>
    <row r="19" customFormat="false" ht="13.5" hidden="false" customHeight="true" outlineLevel="0" collapsed="false">
      <c r="A19" s="17" t="s">
        <v>530</v>
      </c>
      <c r="B19" s="74"/>
      <c r="C19" s="74" t="s">
        <v>519</v>
      </c>
      <c r="D19" s="75" t="n">
        <v>4</v>
      </c>
      <c r="E19" s="37" t="n">
        <f aca="false">D19*Assumptions!$B$10</f>
        <v>147000</v>
      </c>
      <c r="F19" s="26" t="s">
        <v>531</v>
      </c>
      <c r="G19" s="26" t="s">
        <v>511</v>
      </c>
    </row>
    <row r="20" customFormat="false" ht="13.5" hidden="false" customHeight="true" outlineLevel="0" collapsed="false">
      <c r="A20" s="17" t="s">
        <v>532</v>
      </c>
      <c r="B20" s="74"/>
      <c r="C20" s="74" t="s">
        <v>519</v>
      </c>
      <c r="D20" s="75" t="n">
        <v>3</v>
      </c>
      <c r="E20" s="37" t="n">
        <f aca="false">D20*Assumptions!$B$10</f>
        <v>110250</v>
      </c>
      <c r="F20" s="26" t="s">
        <v>533</v>
      </c>
      <c r="G20" s="77" t="s">
        <v>534</v>
      </c>
    </row>
    <row r="21" customFormat="false" ht="24" hidden="false" customHeight="true" outlineLevel="0" collapsed="false">
      <c r="A21" s="17" t="s">
        <v>535</v>
      </c>
      <c r="B21" s="74"/>
      <c r="C21" s="74" t="s">
        <v>519</v>
      </c>
      <c r="D21" s="75" t="n">
        <v>3</v>
      </c>
      <c r="E21" s="37" t="n">
        <f aca="false">D21*Assumptions!$B$10</f>
        <v>110250</v>
      </c>
      <c r="F21" s="26" t="s">
        <v>536</v>
      </c>
      <c r="G21" s="26" t="s">
        <v>511</v>
      </c>
    </row>
    <row r="22" customFormat="false" ht="15" hidden="false" customHeight="true" outlineLevel="0" collapsed="false">
      <c r="A22" s="33" t="s">
        <v>349</v>
      </c>
      <c r="B22" s="32"/>
      <c r="C22" s="32"/>
      <c r="D22" s="71" t="n">
        <f aca="false">SUM(D5:D21)</f>
        <v>71.5</v>
      </c>
      <c r="E22" s="35" t="n">
        <f aca="false">SUM(E5:E21)</f>
        <v>2627625</v>
      </c>
      <c r="F22" s="32"/>
    </row>
    <row r="24" customFormat="false" ht="25.5" hidden="false" customHeight="true" outlineLevel="0" collapsed="false">
      <c r="A24" s="6" t="s">
        <v>537</v>
      </c>
      <c r="D24" s="78" t="n">
        <f aca="false">SUMIF(C5:C21,"US delivery centre",D5:D21)/D22</f>
        <v>0.545454545454545</v>
      </c>
      <c r="F24" s="79" t="s">
        <v>538</v>
      </c>
    </row>
    <row r="26" customFormat="false" ht="25.5" hidden="false" customHeight="true" outlineLevel="0" collapsed="false">
      <c r="A26" s="39" t="s">
        <v>539</v>
      </c>
      <c r="B26" s="39"/>
      <c r="C26" s="39"/>
      <c r="D26" s="39"/>
      <c r="E26" s="39"/>
      <c r="F26" s="39"/>
    </row>
    <row r="27" customFormat="false" ht="25.5" hidden="false" customHeight="true" outlineLevel="0" collapsed="false">
      <c r="A27" s="39" t="s">
        <v>540</v>
      </c>
      <c r="B27" s="39"/>
      <c r="C27" s="39"/>
      <c r="D27" s="39"/>
      <c r="E27" s="39"/>
      <c r="F27" s="39"/>
    </row>
    <row r="28" customFormat="false" ht="25.5" hidden="false" customHeight="true" outlineLevel="0" collapsed="false">
      <c r="A28" s="39" t="s">
        <v>541</v>
      </c>
      <c r="B28" s="39"/>
      <c r="C28" s="39"/>
      <c r="D28" s="39"/>
      <c r="E28" s="39"/>
      <c r="F28" s="39"/>
    </row>
  </sheetData>
  <mergeCells count="4">
    <mergeCell ref="A2:F2"/>
    <mergeCell ref="A26:F26"/>
    <mergeCell ref="A27:F27"/>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4"/>
    <col collapsed="false" customWidth="true" hidden="false" outlineLevel="0" max="2" min="2" style="1" width="13"/>
    <col collapsed="false" customWidth="true" hidden="false" outlineLevel="0" max="3" min="3" style="1" width="16"/>
    <col collapsed="false" customWidth="true" hidden="false" outlineLevel="0" max="4" min="4" style="1" width="14"/>
    <col collapsed="false" customWidth="true" hidden="false" outlineLevel="0" max="5" min="5" style="1" width="16"/>
    <col collapsed="false" customWidth="true" hidden="false" outlineLevel="0" max="6" min="6" style="1" width="18"/>
    <col collapsed="false" customWidth="true" hidden="false" outlineLevel="0" max="11" min="7" style="1" width="15"/>
  </cols>
  <sheetData>
    <row r="1" customFormat="false" ht="17.25" hidden="false" customHeight="true" outlineLevel="0" collapsed="false">
      <c r="A1" s="2" t="s">
        <v>542</v>
      </c>
    </row>
    <row r="2" customFormat="false" ht="27.75" hidden="false" customHeight="true" outlineLevel="0" collapsed="false">
      <c r="A2" s="58" t="s">
        <v>543</v>
      </c>
      <c r="B2" s="58"/>
      <c r="C2" s="58"/>
      <c r="D2" s="58"/>
      <c r="E2" s="58"/>
      <c r="F2" s="58"/>
      <c r="G2" s="58"/>
    </row>
    <row r="4" customFormat="false" ht="27.75" hidden="false" customHeight="true" outlineLevel="0" collapsed="false">
      <c r="A4" s="25" t="s">
        <v>544</v>
      </c>
      <c r="B4" s="25" t="s">
        <v>478</v>
      </c>
      <c r="C4" s="25" t="s">
        <v>545</v>
      </c>
      <c r="D4" s="25" t="s">
        <v>353</v>
      </c>
      <c r="E4" s="25" t="s">
        <v>546</v>
      </c>
      <c r="F4" s="25" t="s">
        <v>547</v>
      </c>
      <c r="G4" s="25" t="s">
        <v>396</v>
      </c>
      <c r="H4" s="25" t="s">
        <v>290</v>
      </c>
      <c r="I4" s="25" t="s">
        <v>291</v>
      </c>
      <c r="J4" s="25" t="s">
        <v>548</v>
      </c>
      <c r="K4" s="25" t="s">
        <v>549</v>
      </c>
    </row>
    <row r="5" customFormat="false" ht="15" hidden="false" customHeight="true" outlineLevel="0" collapsed="false">
      <c r="A5" s="18" t="s">
        <v>550</v>
      </c>
      <c r="B5" s="80" t="n">
        <v>71.5</v>
      </c>
      <c r="C5" s="81" t="n">
        <f aca="false">B5*Assumptions!$B$10</f>
        <v>2627625</v>
      </c>
      <c r="D5" s="81" t="n">
        <f aca="false">Assumptions!$B$13</f>
        <v>530000</v>
      </c>
      <c r="E5" s="81" t="n">
        <f aca="false">C5+D5</f>
        <v>3157625</v>
      </c>
      <c r="F5" s="81" t="n">
        <f aca="false">E5/(1-Assumptions!$B$12)</f>
        <v>3508472.22222222</v>
      </c>
      <c r="G5" s="81" t="n">
        <v>3400000</v>
      </c>
      <c r="H5" s="27" t="n">
        <v>31.35</v>
      </c>
      <c r="I5" s="28" t="n">
        <v>40.15</v>
      </c>
      <c r="J5" s="29" t="n">
        <f aca="false">H5*Assumptions!$B$10</f>
        <v>1152112.5</v>
      </c>
      <c r="K5" s="30" t="n">
        <f aca="false">I5*Assumptions!$B$10+D5</f>
        <v>2005512.5</v>
      </c>
    </row>
    <row r="6" customFormat="false" ht="15" hidden="false" customHeight="true" outlineLevel="0" collapsed="false">
      <c r="A6" s="17" t="s">
        <v>551</v>
      </c>
      <c r="B6" s="75" t="n">
        <v>65</v>
      </c>
      <c r="C6" s="37" t="n">
        <f aca="false">B6*Assumptions!$B$10</f>
        <v>2388750</v>
      </c>
      <c r="D6" s="37" t="n">
        <f aca="false">Assumptions!$B$14</f>
        <v>480000</v>
      </c>
      <c r="E6" s="37" t="n">
        <f aca="false">C6+D6</f>
        <v>2868750</v>
      </c>
      <c r="F6" s="37" t="n">
        <f aca="false">E6/(1-Assumptions!$B$12)</f>
        <v>3187500</v>
      </c>
      <c r="G6" s="37" t="n">
        <v>3400000</v>
      </c>
      <c r="H6" s="27" t="n">
        <v>23</v>
      </c>
      <c r="I6" s="28" t="n">
        <v>42</v>
      </c>
      <c r="J6" s="29" t="n">
        <f aca="false">H6*Assumptions!$B$10</f>
        <v>845250</v>
      </c>
      <c r="K6" s="30" t="n">
        <f aca="false">I6*Assumptions!$B$10+D6</f>
        <v>2023500</v>
      </c>
    </row>
    <row r="7" customFormat="false" ht="15" hidden="false" customHeight="true" outlineLevel="0" collapsed="false">
      <c r="A7" s="17" t="s">
        <v>552</v>
      </c>
      <c r="B7" s="75" t="n">
        <v>66</v>
      </c>
      <c r="C7" s="37" t="n">
        <f aca="false">B7*Assumptions!$B$10</f>
        <v>2425500</v>
      </c>
      <c r="D7" s="37" t="n">
        <f aca="false">Assumptions!$B$14</f>
        <v>480000</v>
      </c>
      <c r="E7" s="37" t="n">
        <f aca="false">C7+D7</f>
        <v>2905500</v>
      </c>
      <c r="F7" s="37" t="n">
        <f aca="false">E7/(1-Assumptions!$B$12)</f>
        <v>3228333.33333333</v>
      </c>
      <c r="G7" s="37" t="n">
        <v>3500000</v>
      </c>
      <c r="H7" s="27" t="n">
        <v>40</v>
      </c>
      <c r="I7" s="28" t="n">
        <v>26</v>
      </c>
      <c r="J7" s="29" t="n">
        <f aca="false">H7*Assumptions!$B$10</f>
        <v>1470000</v>
      </c>
      <c r="K7" s="30" t="n">
        <f aca="false">I7*Assumptions!$B$10+D7</f>
        <v>1435500</v>
      </c>
    </row>
    <row r="8" customFormat="false" ht="15" hidden="false" customHeight="true" outlineLevel="0" collapsed="false">
      <c r="A8" s="17" t="s">
        <v>553</v>
      </c>
      <c r="B8" s="75" t="n">
        <v>60</v>
      </c>
      <c r="C8" s="37" t="n">
        <f aca="false">B8*Assumptions!$B$10</f>
        <v>2205000</v>
      </c>
      <c r="D8" s="37" t="n">
        <f aca="false">Assumptions!$B$14</f>
        <v>480000</v>
      </c>
      <c r="E8" s="37" t="n">
        <f aca="false">C8+D8</f>
        <v>2685000</v>
      </c>
      <c r="F8" s="37" t="n">
        <f aca="false">E8/(1-Assumptions!$B$12)</f>
        <v>2983333.33333333</v>
      </c>
      <c r="G8" s="37" t="n">
        <v>3500000</v>
      </c>
      <c r="H8" s="27" t="n">
        <v>27</v>
      </c>
      <c r="I8" s="28" t="n">
        <v>33</v>
      </c>
      <c r="J8" s="29" t="n">
        <f aca="false">H8*Assumptions!$B$10</f>
        <v>992250</v>
      </c>
      <c r="K8" s="30" t="n">
        <f aca="false">I8*Assumptions!$B$10+D8</f>
        <v>1692750</v>
      </c>
    </row>
    <row r="9" customFormat="false" ht="15" hidden="false" customHeight="true" outlineLevel="0" collapsed="false">
      <c r="A9" s="17" t="s">
        <v>554</v>
      </c>
      <c r="B9" s="75" t="n">
        <v>58</v>
      </c>
      <c r="C9" s="37" t="n">
        <f aca="false">B9*Assumptions!$B$10</f>
        <v>2131500</v>
      </c>
      <c r="D9" s="37" t="n">
        <f aca="false">Assumptions!$B$14</f>
        <v>480000</v>
      </c>
      <c r="E9" s="37" t="n">
        <f aca="false">C9+D9</f>
        <v>2611500</v>
      </c>
      <c r="F9" s="37" t="n">
        <f aca="false">E9/(1-Assumptions!$B$12)</f>
        <v>2901666.66666667</v>
      </c>
      <c r="G9" s="37" t="n">
        <v>3500000</v>
      </c>
      <c r="H9" s="27" t="n">
        <v>30</v>
      </c>
      <c r="I9" s="28" t="n">
        <v>28</v>
      </c>
      <c r="J9" s="29" t="n">
        <f aca="false">H9*Assumptions!$B$10</f>
        <v>1102500</v>
      </c>
      <c r="K9" s="30" t="n">
        <f aca="false">I9*Assumptions!$B$10+D9</f>
        <v>1509000</v>
      </c>
    </row>
    <row r="10" customFormat="false" ht="15" hidden="false" customHeight="true" outlineLevel="0" collapsed="false">
      <c r="A10" s="33" t="s">
        <v>555</v>
      </c>
      <c r="B10" s="71" t="n">
        <f aca="false">SUM(B5:B6)</f>
        <v>136.5</v>
      </c>
      <c r="C10" s="35" t="n">
        <f aca="false">SUM(C5:C6)</f>
        <v>5016375</v>
      </c>
      <c r="D10" s="35" t="n">
        <f aca="false">SUM(D5:D6)</f>
        <v>1010000</v>
      </c>
      <c r="E10" s="35" t="n">
        <f aca="false">SUM(E5:E6)</f>
        <v>6026375</v>
      </c>
      <c r="F10" s="35" t="n">
        <f aca="false">SUM(F5:F6)</f>
        <v>6695972.22222222</v>
      </c>
      <c r="G10" s="35" t="n">
        <f aca="false">SUM(G5:G6)</f>
        <v>6800000</v>
      </c>
      <c r="H10" s="41" t="n">
        <f aca="false">SUM(H5:H6)</f>
        <v>54.35</v>
      </c>
      <c r="I10" s="41" t="n">
        <f aca="false">SUM(I5:I6)</f>
        <v>82.15</v>
      </c>
      <c r="J10" s="82" t="n">
        <f aca="false">SUM(J5:J6)</f>
        <v>1997362.5</v>
      </c>
      <c r="K10" s="82" t="n">
        <f aca="false">SUM(K5:K6)</f>
        <v>4029012.5</v>
      </c>
    </row>
    <row r="11" customFormat="false" ht="15" hidden="false" customHeight="true" outlineLevel="0" collapsed="false">
      <c r="A11" s="18" t="s">
        <v>556</v>
      </c>
      <c r="B11" s="83" t="n">
        <f aca="false">SUM(B5:B9)</f>
        <v>320.5</v>
      </c>
      <c r="C11" s="46" t="n">
        <f aca="false">SUM(C5:C9)</f>
        <v>11778375</v>
      </c>
      <c r="D11" s="46" t="n">
        <f aca="false">SUM(D5:D9)</f>
        <v>2450000</v>
      </c>
      <c r="E11" s="46" t="n">
        <f aca="false">SUM(E5:E9)</f>
        <v>14228375</v>
      </c>
      <c r="F11" s="46" t="n">
        <f aca="false">SUM(F5:F9)</f>
        <v>15809305.5555556</v>
      </c>
      <c r="G11" s="46" t="n">
        <f aca="false">SUM(G5:G9)</f>
        <v>17300000</v>
      </c>
      <c r="H11" s="41" t="n">
        <f aca="false">SUM(H5:H9)</f>
        <v>151.35</v>
      </c>
      <c r="I11" s="41" t="n">
        <f aca="false">SUM(I5:I9)</f>
        <v>169.15</v>
      </c>
      <c r="J11" s="82" t="n">
        <f aca="false">SUM(J5:J9)</f>
        <v>5562112.5</v>
      </c>
      <c r="K11" s="82" t="n">
        <f aca="false">SUM(K5:K9)</f>
        <v>8666262.5</v>
      </c>
    </row>
    <row r="13" customFormat="false" ht="15" hidden="false" customHeight="true" outlineLevel="0" collapsed="false">
      <c r="A13" s="6" t="s">
        <v>557</v>
      </c>
      <c r="F13" s="11" t="n">
        <f aca="false">G11-F11</f>
        <v>1490694.44444445</v>
      </c>
    </row>
    <row r="14" customFormat="false" ht="15" hidden="false" customHeight="true" outlineLevel="0" collapsed="false">
      <c r="A14" s="6" t="s">
        <v>558</v>
      </c>
      <c r="F14" s="84" t="n">
        <f aca="false">G5-F5</f>
        <v>-108472.222222222</v>
      </c>
    </row>
    <row r="16" customFormat="false" ht="15" hidden="false" customHeight="true" outlineLevel="0" collapsed="false">
      <c r="A16" s="4" t="s">
        <v>559</v>
      </c>
      <c r="B16" s="5"/>
      <c r="C16" s="5"/>
      <c r="D16" s="5"/>
      <c r="E16" s="5"/>
      <c r="F16" s="5"/>
      <c r="G16" s="5"/>
    </row>
    <row r="17" customFormat="false" ht="15" hidden="false" customHeight="true" outlineLevel="0" collapsed="false">
      <c r="A17" s="85" t="s">
        <v>560</v>
      </c>
      <c r="B17" s="86" t="n">
        <v>16</v>
      </c>
      <c r="C17" s="87" t="n">
        <f aca="false">B17*Assumptions!$B$10</f>
        <v>588000</v>
      </c>
    </row>
    <row r="18" customFormat="false" ht="15" hidden="false" customHeight="true" outlineLevel="0" collapsed="false">
      <c r="A18" s="85" t="s">
        <v>561</v>
      </c>
      <c r="B18" s="86" t="n">
        <v>20</v>
      </c>
      <c r="C18" s="87" t="n">
        <f aca="false">B18*Assumptions!$B$10</f>
        <v>735000</v>
      </c>
    </row>
    <row r="19" customFormat="false" ht="15" hidden="false" customHeight="true" outlineLevel="0" collapsed="false">
      <c r="A19" s="85" t="s">
        <v>562</v>
      </c>
      <c r="B19" s="86" t="n">
        <v>8</v>
      </c>
      <c r="C19" s="87" t="n">
        <f aca="false">B19*Assumptions!$B$10</f>
        <v>294000</v>
      </c>
    </row>
    <row r="20" customFormat="false" ht="15" hidden="false" customHeight="true" outlineLevel="0" collapsed="false">
      <c r="A20" s="85" t="s">
        <v>563</v>
      </c>
      <c r="B20" s="86" t="n">
        <v>7</v>
      </c>
      <c r="C20" s="87" t="n">
        <f aca="false">B20*Assumptions!$B$10</f>
        <v>257250</v>
      </c>
    </row>
    <row r="21" customFormat="false" ht="15" hidden="false" customHeight="true" outlineLevel="0" collapsed="false">
      <c r="A21" s="21" t="s">
        <v>564</v>
      </c>
      <c r="B21" s="88" t="n">
        <f aca="false">SUM(B17:B20)</f>
        <v>51</v>
      </c>
      <c r="C21" s="82" t="n">
        <f aca="false">SUM(C17:C20)</f>
        <v>1874250</v>
      </c>
    </row>
    <row r="23" customFormat="false" ht="30" hidden="false" customHeight="true" outlineLevel="0" collapsed="false">
      <c r="A23" s="39" t="s">
        <v>565</v>
      </c>
      <c r="B23" s="39"/>
      <c r="C23" s="39"/>
      <c r="D23" s="39"/>
      <c r="E23" s="39"/>
      <c r="F23" s="39"/>
      <c r="G23" s="39"/>
    </row>
    <row r="24" customFormat="false" ht="30" hidden="false" customHeight="true" outlineLevel="0" collapsed="false">
      <c r="A24" s="39" t="s">
        <v>566</v>
      </c>
      <c r="B24" s="39"/>
      <c r="C24" s="39"/>
      <c r="D24" s="39"/>
      <c r="E24" s="39"/>
      <c r="F24" s="39"/>
      <c r="G24" s="39"/>
    </row>
    <row r="25" customFormat="false" ht="30" hidden="false" customHeight="true" outlineLevel="0" collapsed="false">
      <c r="A25" s="39" t="s">
        <v>567</v>
      </c>
      <c r="B25" s="39"/>
      <c r="C25" s="39"/>
      <c r="D25" s="39"/>
      <c r="E25" s="39"/>
      <c r="F25" s="39"/>
      <c r="G25" s="39"/>
    </row>
  </sheetData>
  <mergeCells count="4">
    <mergeCell ref="A2:G2"/>
    <mergeCell ref="A23:G23"/>
    <mergeCell ref="A24:G24"/>
    <mergeCell ref="A25:G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0"/>
    <col collapsed="false" customWidth="true" hidden="false" outlineLevel="0" max="2" min="2" style="1" width="14"/>
    <col collapsed="false" customWidth="true" hidden="false" outlineLevel="0" max="3" min="3" style="1" width="16"/>
    <col collapsed="false" customWidth="true" hidden="false" outlineLevel="0" max="4" min="4" style="1" width="80"/>
  </cols>
  <sheetData>
    <row r="1" customFormat="false" ht="17.25" hidden="false" customHeight="true" outlineLevel="0" collapsed="false">
      <c r="A1" s="2" t="s">
        <v>568</v>
      </c>
    </row>
    <row r="2" customFormat="false" ht="15" hidden="false" customHeight="true" outlineLevel="0" collapsed="false">
      <c r="A2" s="3" t="s">
        <v>569</v>
      </c>
    </row>
    <row r="4" customFormat="false" ht="31.5" hidden="false" customHeight="true" outlineLevel="0" collapsed="false">
      <c r="A4" s="15" t="s">
        <v>570</v>
      </c>
      <c r="B4" s="15" t="s">
        <v>478</v>
      </c>
      <c r="C4" s="15" t="s">
        <v>571</v>
      </c>
      <c r="D4" s="15" t="s">
        <v>572</v>
      </c>
    </row>
    <row r="5" customFormat="false" ht="36" hidden="false" customHeight="true" outlineLevel="0" collapsed="false">
      <c r="A5" s="33" t="s">
        <v>573</v>
      </c>
      <c r="B5" s="71" t="n">
        <f aca="false">SUM(B6:B10)</f>
        <v>9.5</v>
      </c>
      <c r="C5" s="35" t="n">
        <f aca="false">SUM(C6:C10)</f>
        <v>349125</v>
      </c>
      <c r="D5" s="89" t="s">
        <v>574</v>
      </c>
    </row>
    <row r="6" customFormat="false" ht="24" hidden="false" customHeight="true" outlineLevel="0" collapsed="false">
      <c r="A6" s="16" t="s">
        <v>575</v>
      </c>
      <c r="B6" s="75" t="n">
        <v>3</v>
      </c>
      <c r="C6" s="37" t="n">
        <f aca="false">B6*Assumptions!$B$10</f>
        <v>110250</v>
      </c>
      <c r="D6" s="23"/>
    </row>
    <row r="7" customFormat="false" ht="24" hidden="false" customHeight="true" outlineLevel="0" collapsed="false">
      <c r="A7" s="16" t="s">
        <v>576</v>
      </c>
      <c r="B7" s="75" t="n">
        <v>2.5</v>
      </c>
      <c r="C7" s="37" t="n">
        <f aca="false">B7*Assumptions!$B$10</f>
        <v>91875</v>
      </c>
      <c r="D7" s="23"/>
    </row>
    <row r="8" customFormat="false" ht="24" hidden="false" customHeight="true" outlineLevel="0" collapsed="false">
      <c r="A8" s="16" t="s">
        <v>577</v>
      </c>
      <c r="B8" s="75" t="n">
        <v>1</v>
      </c>
      <c r="C8" s="37" t="n">
        <f aca="false">B8*Assumptions!$B$10</f>
        <v>36750</v>
      </c>
      <c r="D8" s="23"/>
    </row>
    <row r="9" customFormat="false" ht="13.5" hidden="false" customHeight="true" outlineLevel="0" collapsed="false">
      <c r="A9" s="16" t="s">
        <v>578</v>
      </c>
      <c r="B9" s="75" t="n">
        <v>1.5</v>
      </c>
      <c r="C9" s="37" t="n">
        <f aca="false">B9*Assumptions!$B$10</f>
        <v>55125</v>
      </c>
      <c r="D9" s="23"/>
    </row>
    <row r="10" customFormat="false" ht="24" hidden="false" customHeight="true" outlineLevel="0" collapsed="false">
      <c r="A10" s="16" t="s">
        <v>579</v>
      </c>
      <c r="B10" s="75" t="n">
        <v>1.5</v>
      </c>
      <c r="C10" s="37" t="n">
        <f aca="false">B10*Assumptions!$B$10</f>
        <v>55125</v>
      </c>
      <c r="D10" s="23"/>
    </row>
    <row r="11" customFormat="false" ht="24" hidden="false" customHeight="true" outlineLevel="0" collapsed="false">
      <c r="A11" s="33" t="s">
        <v>580</v>
      </c>
      <c r="B11" s="71" t="n">
        <f aca="false">SUM(B12:B13)</f>
        <v>6</v>
      </c>
      <c r="C11" s="35" t="n">
        <f aca="false">SUM(C12:C13)</f>
        <v>220500</v>
      </c>
      <c r="D11" s="89" t="s">
        <v>581</v>
      </c>
    </row>
    <row r="12" customFormat="false" ht="24" hidden="false" customHeight="true" outlineLevel="0" collapsed="false">
      <c r="A12" s="16" t="s">
        <v>582</v>
      </c>
      <c r="B12" s="75" t="n">
        <v>3</v>
      </c>
      <c r="C12" s="37" t="n">
        <f aca="false">B12*Assumptions!$B$10</f>
        <v>110250</v>
      </c>
      <c r="D12" s="23"/>
    </row>
    <row r="13" customFormat="false" ht="24" hidden="false" customHeight="true" outlineLevel="0" collapsed="false">
      <c r="A13" s="16" t="s">
        <v>583</v>
      </c>
      <c r="B13" s="75" t="n">
        <v>3</v>
      </c>
      <c r="C13" s="37" t="n">
        <f aca="false">B13*Assumptions!$B$10</f>
        <v>110250</v>
      </c>
      <c r="D13" s="23"/>
    </row>
    <row r="14" customFormat="false" ht="24" hidden="false" customHeight="true" outlineLevel="0" collapsed="false">
      <c r="A14" s="33" t="s">
        <v>584</v>
      </c>
      <c r="B14" s="71" t="n">
        <f aca="false">SUM(B15:B21)</f>
        <v>24.5</v>
      </c>
      <c r="C14" s="35" t="n">
        <f aca="false">SUM(C15:C21)</f>
        <v>900375</v>
      </c>
      <c r="D14" s="89" t="s">
        <v>585</v>
      </c>
    </row>
    <row r="15" customFormat="false" ht="24" hidden="false" customHeight="true" outlineLevel="0" collapsed="false">
      <c r="A15" s="16" t="s">
        <v>586</v>
      </c>
      <c r="B15" s="75" t="n">
        <v>8</v>
      </c>
      <c r="C15" s="37" t="n">
        <f aca="false">B15*Assumptions!$B$10</f>
        <v>294000</v>
      </c>
      <c r="D15" s="23"/>
    </row>
    <row r="16" customFormat="false" ht="24" hidden="false" customHeight="true" outlineLevel="0" collapsed="false">
      <c r="A16" s="16" t="s">
        <v>587</v>
      </c>
      <c r="B16" s="75" t="n">
        <v>5</v>
      </c>
      <c r="C16" s="37" t="n">
        <f aca="false">B16*Assumptions!$B$10</f>
        <v>183750</v>
      </c>
      <c r="D16" s="23"/>
    </row>
    <row r="17" customFormat="false" ht="24" hidden="false" customHeight="true" outlineLevel="0" collapsed="false">
      <c r="A17" s="16" t="s">
        <v>588</v>
      </c>
      <c r="B17" s="75" t="n">
        <v>4</v>
      </c>
      <c r="C17" s="37" t="n">
        <f aca="false">B17*Assumptions!$B$10</f>
        <v>147000</v>
      </c>
      <c r="D17" s="23"/>
    </row>
    <row r="18" customFormat="false" ht="24" hidden="false" customHeight="true" outlineLevel="0" collapsed="false">
      <c r="A18" s="16" t="s">
        <v>589</v>
      </c>
      <c r="B18" s="75" t="n">
        <v>2.5</v>
      </c>
      <c r="C18" s="37" t="n">
        <f aca="false">B18*Assumptions!$B$10</f>
        <v>91875</v>
      </c>
      <c r="D18" s="23"/>
    </row>
    <row r="19" customFormat="false" ht="24" hidden="false" customHeight="true" outlineLevel="0" collapsed="false">
      <c r="A19" s="16" t="s">
        <v>590</v>
      </c>
      <c r="B19" s="75" t="n">
        <v>2</v>
      </c>
      <c r="C19" s="37" t="n">
        <f aca="false">B19*Assumptions!$B$10</f>
        <v>73500</v>
      </c>
      <c r="D19" s="23"/>
    </row>
    <row r="20" customFormat="false" ht="24" hidden="false" customHeight="true" outlineLevel="0" collapsed="false">
      <c r="A20" s="16" t="s">
        <v>591</v>
      </c>
      <c r="B20" s="75" t="n">
        <v>2</v>
      </c>
      <c r="C20" s="37" t="n">
        <f aca="false">B20*Assumptions!$B$10</f>
        <v>73500</v>
      </c>
      <c r="D20" s="23"/>
    </row>
    <row r="21" customFormat="false" ht="24" hidden="false" customHeight="true" outlineLevel="0" collapsed="false">
      <c r="A21" s="16" t="s">
        <v>592</v>
      </c>
      <c r="B21" s="75" t="n">
        <v>1</v>
      </c>
      <c r="C21" s="37" t="n">
        <f aca="false">B21*Assumptions!$B$10</f>
        <v>36750</v>
      </c>
      <c r="D21" s="23"/>
    </row>
    <row r="22" customFormat="false" ht="24" hidden="false" customHeight="true" outlineLevel="0" collapsed="false">
      <c r="A22" s="33" t="s">
        <v>593</v>
      </c>
      <c r="B22" s="71" t="n">
        <f aca="false">SUM(B23:B24)</f>
        <v>4.5</v>
      </c>
      <c r="C22" s="35" t="n">
        <f aca="false">SUM(C23:C24)</f>
        <v>165375</v>
      </c>
      <c r="D22" s="89" t="s">
        <v>594</v>
      </c>
    </row>
    <row r="23" customFormat="false" ht="24" hidden="false" customHeight="true" outlineLevel="0" collapsed="false">
      <c r="A23" s="16" t="s">
        <v>595</v>
      </c>
      <c r="B23" s="75" t="n">
        <v>3</v>
      </c>
      <c r="C23" s="37" t="n">
        <f aca="false">B23*Assumptions!$B$10</f>
        <v>110250</v>
      </c>
      <c r="D23" s="23"/>
    </row>
    <row r="24" customFormat="false" ht="13.5" hidden="false" customHeight="true" outlineLevel="0" collapsed="false">
      <c r="A24" s="16" t="s">
        <v>596</v>
      </c>
      <c r="B24" s="75" t="n">
        <v>1.5</v>
      </c>
      <c r="C24" s="37" t="n">
        <f aca="false">B24*Assumptions!$B$10</f>
        <v>55125</v>
      </c>
      <c r="D24" s="23"/>
    </row>
    <row r="25" customFormat="false" ht="24" hidden="false" customHeight="true" outlineLevel="0" collapsed="false">
      <c r="A25" s="33" t="s">
        <v>597</v>
      </c>
      <c r="B25" s="71" t="n">
        <f aca="false">SUM(B26:B29)</f>
        <v>27</v>
      </c>
      <c r="C25" s="35" t="n">
        <f aca="false">SUM(C26:C29)</f>
        <v>992250</v>
      </c>
      <c r="D25" s="89" t="s">
        <v>598</v>
      </c>
    </row>
    <row r="26" customFormat="false" ht="24" hidden="false" customHeight="true" outlineLevel="0" collapsed="false">
      <c r="A26" s="16" t="s">
        <v>599</v>
      </c>
      <c r="B26" s="75" t="n">
        <v>4</v>
      </c>
      <c r="C26" s="37" t="n">
        <f aca="false">B26*Assumptions!$B$10</f>
        <v>147000</v>
      </c>
      <c r="D26" s="23"/>
    </row>
    <row r="27" customFormat="false" ht="24" hidden="false" customHeight="true" outlineLevel="0" collapsed="false">
      <c r="A27" s="16" t="s">
        <v>600</v>
      </c>
      <c r="B27" s="75" t="n">
        <v>10</v>
      </c>
      <c r="C27" s="37" t="n">
        <f aca="false">B27*Assumptions!$B$10</f>
        <v>367500</v>
      </c>
      <c r="D27" s="23"/>
    </row>
    <row r="28" customFormat="false" ht="24" hidden="false" customHeight="true" outlineLevel="0" collapsed="false">
      <c r="A28" s="16" t="s">
        <v>601</v>
      </c>
      <c r="B28" s="75" t="n">
        <v>8</v>
      </c>
      <c r="C28" s="37" t="n">
        <f aca="false">B28*Assumptions!$B$10</f>
        <v>294000</v>
      </c>
      <c r="D28" s="23"/>
    </row>
    <row r="29" customFormat="false" ht="24" hidden="false" customHeight="true" outlineLevel="0" collapsed="false">
      <c r="A29" s="16" t="s">
        <v>602</v>
      </c>
      <c r="B29" s="75" t="n">
        <v>5</v>
      </c>
      <c r="C29" s="37" t="n">
        <f aca="false">B29*Assumptions!$B$10</f>
        <v>183750</v>
      </c>
      <c r="D29" s="23"/>
    </row>
    <row r="30" customFormat="false" ht="15" hidden="false" customHeight="true" outlineLevel="0" collapsed="false">
      <c r="A30" s="33" t="s">
        <v>355</v>
      </c>
      <c r="B30" s="71" t="n">
        <f aca="false">B5+B11+B14+B22+B25</f>
        <v>71.5</v>
      </c>
      <c r="C30" s="35" t="n">
        <f aca="false">C5+C11+C14+C22+C25</f>
        <v>2627625</v>
      </c>
      <c r="D30" s="33"/>
    </row>
    <row r="32" customFormat="false" ht="43.5" hidden="false" customHeight="true" outlineLevel="0" collapsed="false">
      <c r="A32" s="58" t="s">
        <v>603</v>
      </c>
      <c r="B32" s="58"/>
      <c r="C32" s="58"/>
      <c r="D32" s="58"/>
    </row>
  </sheetData>
  <mergeCells count="1">
    <mergeCell ref="A32:D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0"/>
    <col collapsed="false" customWidth="true" hidden="false" outlineLevel="0" max="3" min="3" style="1" width="74"/>
    <col collapsed="false" customWidth="true" hidden="false" outlineLevel="0" max="4" min="4" style="1" width="20"/>
    <col collapsed="false" customWidth="true" hidden="false" outlineLevel="0" max="5" min="5" style="1" width="13"/>
    <col collapsed="false" customWidth="true" hidden="false" outlineLevel="0" max="6" min="6" style="1" width="14"/>
    <col collapsed="false" customWidth="true" hidden="false" outlineLevel="0" max="7" min="7" style="1" width="13"/>
    <col collapsed="false" customWidth="true" hidden="false" outlineLevel="0" max="9" min="8" style="1" width="14"/>
  </cols>
  <sheetData>
    <row r="1" customFormat="false" ht="15.75" hidden="false" customHeight="true" outlineLevel="0" collapsed="false">
      <c r="A1" s="90" t="s">
        <v>604</v>
      </c>
    </row>
    <row r="2" customFormat="false" ht="15" hidden="false" customHeight="true" outlineLevel="0" collapsed="false">
      <c r="A2" s="57" t="s">
        <v>605</v>
      </c>
    </row>
    <row r="4" customFormat="false" ht="15" hidden="false" customHeight="true" outlineLevel="0" collapsed="false">
      <c r="A4" s="91" t="s">
        <v>352</v>
      </c>
      <c r="B4" s="91" t="s">
        <v>294</v>
      </c>
      <c r="C4" s="91" t="s">
        <v>606</v>
      </c>
      <c r="D4" s="91" t="s">
        <v>607</v>
      </c>
      <c r="E4" s="91" t="s">
        <v>608</v>
      </c>
      <c r="F4" s="91" t="s">
        <v>609</v>
      </c>
      <c r="G4" s="91" t="s">
        <v>610</v>
      </c>
      <c r="H4" s="91" t="s">
        <v>611</v>
      </c>
      <c r="I4" s="91" t="s">
        <v>612</v>
      </c>
    </row>
    <row r="5" customFormat="false" ht="15" hidden="false" customHeight="true" outlineLevel="0" collapsed="false">
      <c r="A5" s="92" t="n">
        <v>2027</v>
      </c>
      <c r="B5" s="92" t="s">
        <v>298</v>
      </c>
      <c r="C5" s="92" t="s">
        <v>297</v>
      </c>
      <c r="D5" s="92" t="s">
        <v>613</v>
      </c>
      <c r="E5" s="93" t="n">
        <v>2.1</v>
      </c>
      <c r="F5" s="93" t="n">
        <v>0.9</v>
      </c>
      <c r="G5" s="93" t="n">
        <f aca="false">E5+F5</f>
        <v>3</v>
      </c>
      <c r="H5" s="94" t="n">
        <f aca="false">E5*Assumptions!$B$10</f>
        <v>77175</v>
      </c>
      <c r="I5" s="94" t="n">
        <f aca="false">F5*Assumptions!$B$10</f>
        <v>33075</v>
      </c>
    </row>
    <row r="6" customFormat="false" ht="15" hidden="false" customHeight="true" outlineLevel="0" collapsed="false">
      <c r="A6" s="92" t="n">
        <v>2027</v>
      </c>
      <c r="B6" s="92" t="s">
        <v>298</v>
      </c>
      <c r="C6" s="92" t="s">
        <v>300</v>
      </c>
      <c r="D6" s="92" t="s">
        <v>613</v>
      </c>
      <c r="E6" s="93" t="n">
        <v>1.75</v>
      </c>
      <c r="F6" s="93" t="n">
        <v>0.75</v>
      </c>
      <c r="G6" s="93" t="n">
        <f aca="false">E6+F6</f>
        <v>2.5</v>
      </c>
      <c r="H6" s="94" t="n">
        <f aca="false">E6*Assumptions!$B$10</f>
        <v>64312.5</v>
      </c>
      <c r="I6" s="94" t="n">
        <f aca="false">F6*Assumptions!$B$10</f>
        <v>27562.5</v>
      </c>
    </row>
    <row r="7" customFormat="false" ht="15" hidden="false" customHeight="true" outlineLevel="0" collapsed="false">
      <c r="A7" s="92" t="n">
        <v>2027</v>
      </c>
      <c r="B7" s="92" t="s">
        <v>298</v>
      </c>
      <c r="C7" s="92" t="s">
        <v>302</v>
      </c>
      <c r="D7" s="92" t="s">
        <v>613</v>
      </c>
      <c r="E7" s="93" t="n">
        <v>0.7</v>
      </c>
      <c r="F7" s="93" t="n">
        <v>0.3</v>
      </c>
      <c r="G7" s="93" t="n">
        <f aca="false">E7+F7</f>
        <v>1</v>
      </c>
      <c r="H7" s="94" t="n">
        <f aca="false">E7*Assumptions!$B$10</f>
        <v>25725</v>
      </c>
      <c r="I7" s="94" t="n">
        <f aca="false">F7*Assumptions!$B$10</f>
        <v>11025</v>
      </c>
    </row>
    <row r="8" customFormat="false" ht="15" hidden="false" customHeight="true" outlineLevel="0" collapsed="false">
      <c r="A8" s="92" t="n">
        <v>2027</v>
      </c>
      <c r="B8" s="92" t="s">
        <v>298</v>
      </c>
      <c r="C8" s="92" t="s">
        <v>304</v>
      </c>
      <c r="D8" s="92" t="s">
        <v>613</v>
      </c>
      <c r="E8" s="93" t="n">
        <v>1.05</v>
      </c>
      <c r="F8" s="93" t="n">
        <v>0.45</v>
      </c>
      <c r="G8" s="93" t="n">
        <f aca="false">E8+F8</f>
        <v>1.5</v>
      </c>
      <c r="H8" s="94" t="n">
        <f aca="false">E8*Assumptions!$B$10</f>
        <v>38587.5</v>
      </c>
      <c r="I8" s="94" t="n">
        <f aca="false">F8*Assumptions!$B$10</f>
        <v>16537.5</v>
      </c>
    </row>
    <row r="9" customFormat="false" ht="15" hidden="false" customHeight="true" outlineLevel="0" collapsed="false">
      <c r="A9" s="92" t="n">
        <v>2027</v>
      </c>
      <c r="B9" s="92" t="s">
        <v>298</v>
      </c>
      <c r="C9" s="92" t="s">
        <v>306</v>
      </c>
      <c r="D9" s="92" t="s">
        <v>613</v>
      </c>
      <c r="E9" s="93" t="n">
        <v>1.05</v>
      </c>
      <c r="F9" s="93" t="n">
        <v>0.45</v>
      </c>
      <c r="G9" s="93" t="n">
        <f aca="false">E9+F9</f>
        <v>1.5</v>
      </c>
      <c r="H9" s="94" t="n">
        <f aca="false">E9*Assumptions!$B$10</f>
        <v>38587.5</v>
      </c>
      <c r="I9" s="94" t="n">
        <f aca="false">F9*Assumptions!$B$10</f>
        <v>16537.5</v>
      </c>
    </row>
    <row r="10" customFormat="false" ht="15" hidden="false" customHeight="true" outlineLevel="0" collapsed="false">
      <c r="A10" s="92" t="n">
        <v>2027</v>
      </c>
      <c r="B10" s="92" t="s">
        <v>310</v>
      </c>
      <c r="C10" s="92" t="s">
        <v>309</v>
      </c>
      <c r="D10" s="92" t="s">
        <v>613</v>
      </c>
      <c r="E10" s="93" t="n">
        <v>2.25</v>
      </c>
      <c r="F10" s="93" t="n">
        <v>0.75</v>
      </c>
      <c r="G10" s="93" t="n">
        <f aca="false">E10+F10</f>
        <v>3</v>
      </c>
      <c r="H10" s="94" t="n">
        <f aca="false">E10*Assumptions!$B$10</f>
        <v>82687.5</v>
      </c>
      <c r="I10" s="94" t="n">
        <f aca="false">F10*Assumptions!$B$10</f>
        <v>27562.5</v>
      </c>
    </row>
    <row r="11" customFormat="false" ht="15" hidden="false" customHeight="true" outlineLevel="0" collapsed="false">
      <c r="A11" s="92" t="n">
        <v>2027</v>
      </c>
      <c r="B11" s="92" t="s">
        <v>310</v>
      </c>
      <c r="C11" s="92" t="s">
        <v>253</v>
      </c>
      <c r="D11" s="92" t="s">
        <v>613</v>
      </c>
      <c r="E11" s="93" t="n">
        <v>2.25</v>
      </c>
      <c r="F11" s="93" t="n">
        <v>0.75</v>
      </c>
      <c r="G11" s="93" t="n">
        <f aca="false">E11+F11</f>
        <v>3</v>
      </c>
      <c r="H11" s="94" t="n">
        <f aca="false">E11*Assumptions!$B$10</f>
        <v>82687.5</v>
      </c>
      <c r="I11" s="94" t="n">
        <f aca="false">F11*Assumptions!$B$10</f>
        <v>27562.5</v>
      </c>
    </row>
    <row r="12" customFormat="false" ht="15" hidden="false" customHeight="true" outlineLevel="0" collapsed="false">
      <c r="A12" s="92" t="n">
        <v>2027</v>
      </c>
      <c r="B12" s="92" t="s">
        <v>315</v>
      </c>
      <c r="C12" s="92" t="s">
        <v>314</v>
      </c>
      <c r="D12" s="92" t="s">
        <v>614</v>
      </c>
      <c r="E12" s="93" t="n">
        <v>6</v>
      </c>
      <c r="F12" s="93" t="n">
        <v>2</v>
      </c>
      <c r="G12" s="93" t="n">
        <f aca="false">E12+F12</f>
        <v>8</v>
      </c>
      <c r="H12" s="94" t="n">
        <f aca="false">E12*Assumptions!$B$10</f>
        <v>220500</v>
      </c>
      <c r="I12" s="94" t="n">
        <f aca="false">F12*Assumptions!$B$10</f>
        <v>73500</v>
      </c>
    </row>
    <row r="13" customFormat="false" ht="15" hidden="false" customHeight="true" outlineLevel="0" collapsed="false">
      <c r="A13" s="92" t="n">
        <v>2027</v>
      </c>
      <c r="B13" s="92" t="s">
        <v>315</v>
      </c>
      <c r="C13" s="92" t="s">
        <v>317</v>
      </c>
      <c r="D13" s="92" t="s">
        <v>614</v>
      </c>
      <c r="E13" s="93" t="n">
        <v>3.75</v>
      </c>
      <c r="F13" s="93" t="n">
        <v>1.25</v>
      </c>
      <c r="G13" s="93" t="n">
        <f aca="false">E13+F13</f>
        <v>5</v>
      </c>
      <c r="H13" s="94" t="n">
        <f aca="false">E13*Assumptions!$B$10</f>
        <v>137812.5</v>
      </c>
      <c r="I13" s="94" t="n">
        <f aca="false">F13*Assumptions!$B$10</f>
        <v>45937.5</v>
      </c>
    </row>
    <row r="14" customFormat="false" ht="15" hidden="false" customHeight="true" outlineLevel="0" collapsed="false">
      <c r="A14" s="92" t="n">
        <v>2027</v>
      </c>
      <c r="B14" s="92" t="s">
        <v>315</v>
      </c>
      <c r="C14" s="92" t="s">
        <v>319</v>
      </c>
      <c r="D14" s="92" t="s">
        <v>614</v>
      </c>
      <c r="E14" s="93" t="n">
        <v>1.5</v>
      </c>
      <c r="F14" s="93" t="n">
        <v>2.5</v>
      </c>
      <c r="G14" s="93" t="n">
        <f aca="false">E14+F14</f>
        <v>4</v>
      </c>
      <c r="H14" s="94" t="n">
        <f aca="false">E14*Assumptions!$B$10</f>
        <v>55125</v>
      </c>
      <c r="I14" s="94" t="n">
        <f aca="false">F14*Assumptions!$B$10</f>
        <v>91875</v>
      </c>
    </row>
    <row r="15" customFormat="false" ht="15" hidden="false" customHeight="true" outlineLevel="0" collapsed="false">
      <c r="A15" s="92" t="n">
        <v>2027</v>
      </c>
      <c r="B15" s="92" t="s">
        <v>315</v>
      </c>
      <c r="C15" s="92" t="s">
        <v>259</v>
      </c>
      <c r="D15" s="92" t="s">
        <v>614</v>
      </c>
      <c r="E15" s="93" t="n">
        <v>2</v>
      </c>
      <c r="F15" s="93" t="n">
        <v>0.5</v>
      </c>
      <c r="G15" s="93" t="n">
        <f aca="false">E15+F15</f>
        <v>2.5</v>
      </c>
      <c r="H15" s="94" t="n">
        <f aca="false">E15*Assumptions!$B$10</f>
        <v>73500</v>
      </c>
      <c r="I15" s="94" t="n">
        <f aca="false">F15*Assumptions!$B$10</f>
        <v>18375</v>
      </c>
    </row>
    <row r="16" customFormat="false" ht="15" hidden="false" customHeight="true" outlineLevel="0" collapsed="false">
      <c r="A16" s="92" t="n">
        <v>2027</v>
      </c>
      <c r="B16" s="92" t="s">
        <v>315</v>
      </c>
      <c r="C16" s="92" t="s">
        <v>322</v>
      </c>
      <c r="D16" s="92" t="s">
        <v>614</v>
      </c>
      <c r="E16" s="93" t="n">
        <v>1.5</v>
      </c>
      <c r="F16" s="93" t="n">
        <v>0.5</v>
      </c>
      <c r="G16" s="93" t="n">
        <f aca="false">E16+F16</f>
        <v>2</v>
      </c>
      <c r="H16" s="94" t="n">
        <f aca="false">E16*Assumptions!$B$10</f>
        <v>55125</v>
      </c>
      <c r="I16" s="94" t="n">
        <f aca="false">F16*Assumptions!$B$10</f>
        <v>18375</v>
      </c>
    </row>
    <row r="17" customFormat="false" ht="15" hidden="false" customHeight="true" outlineLevel="0" collapsed="false">
      <c r="A17" s="92" t="n">
        <v>2027</v>
      </c>
      <c r="B17" s="92" t="s">
        <v>315</v>
      </c>
      <c r="C17" s="92" t="s">
        <v>324</v>
      </c>
      <c r="D17" s="92" t="s">
        <v>614</v>
      </c>
      <c r="E17" s="93" t="n">
        <v>0.5</v>
      </c>
      <c r="F17" s="93" t="n">
        <v>1.5</v>
      </c>
      <c r="G17" s="93" t="n">
        <f aca="false">E17+F17</f>
        <v>2</v>
      </c>
      <c r="H17" s="94" t="n">
        <f aca="false">E17*Assumptions!$B$10</f>
        <v>18375</v>
      </c>
      <c r="I17" s="94" t="n">
        <f aca="false">F17*Assumptions!$B$10</f>
        <v>55125</v>
      </c>
    </row>
    <row r="18" customFormat="false" ht="15" hidden="false" customHeight="true" outlineLevel="0" collapsed="false">
      <c r="A18" s="92" t="n">
        <v>2027</v>
      </c>
      <c r="B18" s="92" t="s">
        <v>315</v>
      </c>
      <c r="C18" s="92" t="s">
        <v>326</v>
      </c>
      <c r="D18" s="92" t="s">
        <v>614</v>
      </c>
      <c r="E18" s="93" t="n">
        <v>0.25</v>
      </c>
      <c r="F18" s="93" t="n">
        <v>0.75</v>
      </c>
      <c r="G18" s="93" t="n">
        <f aca="false">E18+F18</f>
        <v>1</v>
      </c>
      <c r="H18" s="94" t="n">
        <f aca="false">E18*Assumptions!$B$10</f>
        <v>9187.5</v>
      </c>
      <c r="I18" s="94" t="n">
        <f aca="false">F18*Assumptions!$B$10</f>
        <v>27562.5</v>
      </c>
    </row>
    <row r="19" customFormat="false" ht="15" hidden="false" customHeight="true" outlineLevel="0" collapsed="false">
      <c r="A19" s="92" t="n">
        <v>2027</v>
      </c>
      <c r="B19" s="92" t="s">
        <v>330</v>
      </c>
      <c r="C19" s="92" t="s">
        <v>329</v>
      </c>
      <c r="D19" s="92" t="s">
        <v>615</v>
      </c>
      <c r="E19" s="93" t="n">
        <v>2.1</v>
      </c>
      <c r="F19" s="93" t="n">
        <v>0.9</v>
      </c>
      <c r="G19" s="93" t="n">
        <f aca="false">E19+F19</f>
        <v>3</v>
      </c>
      <c r="H19" s="94" t="n">
        <f aca="false">E19*Assumptions!$B$10</f>
        <v>77175</v>
      </c>
      <c r="I19" s="94" t="n">
        <f aca="false">F19*Assumptions!$B$10</f>
        <v>33075</v>
      </c>
    </row>
    <row r="20" customFormat="false" ht="15" hidden="false" customHeight="true" outlineLevel="0" collapsed="false">
      <c r="A20" s="92" t="n">
        <v>2027</v>
      </c>
      <c r="B20" s="92" t="s">
        <v>330</v>
      </c>
      <c r="C20" s="92" t="s">
        <v>332</v>
      </c>
      <c r="D20" s="92" t="s">
        <v>615</v>
      </c>
      <c r="E20" s="93" t="n">
        <v>0.6</v>
      </c>
      <c r="F20" s="93" t="n">
        <v>0.9</v>
      </c>
      <c r="G20" s="93" t="n">
        <f aca="false">E20+F20</f>
        <v>1.5</v>
      </c>
      <c r="H20" s="94" t="n">
        <f aca="false">E20*Assumptions!$B$10</f>
        <v>22050</v>
      </c>
      <c r="I20" s="94" t="n">
        <f aca="false">F20*Assumptions!$B$10</f>
        <v>33075</v>
      </c>
    </row>
    <row r="21" customFormat="false" ht="15" hidden="false" customHeight="true" outlineLevel="0" collapsed="false">
      <c r="A21" s="92" t="n">
        <v>2027</v>
      </c>
      <c r="B21" s="92" t="s">
        <v>330</v>
      </c>
      <c r="C21" s="92" t="s">
        <v>335</v>
      </c>
      <c r="D21" s="92" t="s">
        <v>615</v>
      </c>
      <c r="E21" s="93" t="n">
        <v>2</v>
      </c>
      <c r="F21" s="93" t="n">
        <v>0</v>
      </c>
      <c r="G21" s="93" t="n">
        <f aca="false">E21+F21</f>
        <v>2</v>
      </c>
      <c r="H21" s="94" t="n">
        <f aca="false">E21*Assumptions!$B$10</f>
        <v>73500</v>
      </c>
      <c r="I21" s="94" t="n">
        <f aca="false">F21*Assumptions!$B$10</f>
        <v>0</v>
      </c>
    </row>
    <row r="22" customFormat="false" ht="15" hidden="false" customHeight="true" outlineLevel="0" collapsed="false">
      <c r="A22" s="92" t="n">
        <v>2027</v>
      </c>
      <c r="B22" s="92" t="s">
        <v>338</v>
      </c>
      <c r="C22" s="92" t="s">
        <v>337</v>
      </c>
      <c r="D22" s="92" t="s">
        <v>615</v>
      </c>
      <c r="E22" s="93" t="n">
        <v>0</v>
      </c>
      <c r="F22" s="93" t="n">
        <v>2</v>
      </c>
      <c r="G22" s="93" t="n">
        <f aca="false">E22+F22</f>
        <v>2</v>
      </c>
      <c r="H22" s="94" t="n">
        <f aca="false">E22*Assumptions!$B$10</f>
        <v>0</v>
      </c>
      <c r="I22" s="94" t="n">
        <f aca="false">F22*Assumptions!$B$10</f>
        <v>73500</v>
      </c>
    </row>
    <row r="23" customFormat="false" ht="15" hidden="false" customHeight="true" outlineLevel="0" collapsed="false">
      <c r="A23" s="92" t="n">
        <v>2027</v>
      </c>
      <c r="B23" s="92" t="s">
        <v>338</v>
      </c>
      <c r="C23" s="92" t="s">
        <v>341</v>
      </c>
      <c r="D23" s="92" t="s">
        <v>615</v>
      </c>
      <c r="E23" s="93" t="n">
        <v>0</v>
      </c>
      <c r="F23" s="93" t="n">
        <v>10</v>
      </c>
      <c r="G23" s="93" t="n">
        <f aca="false">E23+F23</f>
        <v>10</v>
      </c>
      <c r="H23" s="94" t="n">
        <f aca="false">E23*Assumptions!$B$10</f>
        <v>0</v>
      </c>
      <c r="I23" s="94" t="n">
        <f aca="false">F23*Assumptions!$B$10</f>
        <v>367500</v>
      </c>
    </row>
    <row r="24" customFormat="false" ht="15" hidden="false" customHeight="true" outlineLevel="0" collapsed="false">
      <c r="A24" s="92" t="n">
        <v>2027</v>
      </c>
      <c r="B24" s="92" t="s">
        <v>338</v>
      </c>
      <c r="C24" s="92" t="s">
        <v>344</v>
      </c>
      <c r="D24" s="92" t="s">
        <v>615</v>
      </c>
      <c r="E24" s="93" t="n">
        <v>0</v>
      </c>
      <c r="F24" s="93" t="n">
        <v>8</v>
      </c>
      <c r="G24" s="93" t="n">
        <f aca="false">E24+F24</f>
        <v>8</v>
      </c>
      <c r="H24" s="94" t="n">
        <f aca="false">E24*Assumptions!$B$10</f>
        <v>0</v>
      </c>
      <c r="I24" s="94" t="n">
        <f aca="false">F24*Assumptions!$B$10</f>
        <v>294000</v>
      </c>
    </row>
    <row r="25" customFormat="false" ht="15" hidden="false" customHeight="true" outlineLevel="0" collapsed="false">
      <c r="A25" s="92" t="n">
        <v>2027</v>
      </c>
      <c r="B25" s="92" t="s">
        <v>338</v>
      </c>
      <c r="C25" s="92" t="s">
        <v>347</v>
      </c>
      <c r="D25" s="92" t="s">
        <v>615</v>
      </c>
      <c r="E25" s="93" t="n">
        <v>0</v>
      </c>
      <c r="F25" s="93" t="n">
        <v>5</v>
      </c>
      <c r="G25" s="93" t="n">
        <f aca="false">E25+F25</f>
        <v>5</v>
      </c>
      <c r="H25" s="94" t="n">
        <f aca="false">E25*Assumptions!$B$10</f>
        <v>0</v>
      </c>
      <c r="I25" s="94" t="n">
        <f aca="false">F25*Assumptions!$B$10</f>
        <v>183750</v>
      </c>
    </row>
    <row r="26" customFormat="false" ht="15" hidden="false" customHeight="true" outlineLevel="0" collapsed="false">
      <c r="A26" s="92" t="n">
        <v>2028</v>
      </c>
      <c r="B26" s="92" t="s">
        <v>616</v>
      </c>
      <c r="C26" s="92" t="s">
        <v>617</v>
      </c>
      <c r="D26" s="92" t="s">
        <v>618</v>
      </c>
      <c r="E26" s="93" t="n">
        <v>6</v>
      </c>
      <c r="F26" s="93" t="n">
        <v>4</v>
      </c>
      <c r="G26" s="93" t="n">
        <f aca="false">E26+F26</f>
        <v>10</v>
      </c>
      <c r="H26" s="94" t="n">
        <f aca="false">E26*Assumptions!$B$10</f>
        <v>220500</v>
      </c>
      <c r="I26" s="94" t="n">
        <f aca="false">F26*Assumptions!$B$10</f>
        <v>147000</v>
      </c>
    </row>
    <row r="27" customFormat="false" ht="15" hidden="false" customHeight="true" outlineLevel="0" collapsed="false">
      <c r="A27" s="92" t="n">
        <v>2028</v>
      </c>
      <c r="B27" s="92" t="s">
        <v>616</v>
      </c>
      <c r="C27" s="92" t="s">
        <v>619</v>
      </c>
      <c r="D27" s="92" t="s">
        <v>613</v>
      </c>
      <c r="E27" s="93" t="n">
        <v>4</v>
      </c>
      <c r="F27" s="93" t="n">
        <v>2</v>
      </c>
      <c r="G27" s="93" t="n">
        <f aca="false">E27+F27</f>
        <v>6</v>
      </c>
      <c r="H27" s="94" t="n">
        <f aca="false">E27*Assumptions!$B$10</f>
        <v>147000</v>
      </c>
      <c r="I27" s="94" t="n">
        <f aca="false">F27*Assumptions!$B$10</f>
        <v>73500</v>
      </c>
    </row>
    <row r="28" customFormat="false" ht="15" hidden="false" customHeight="true" outlineLevel="0" collapsed="false">
      <c r="A28" s="92" t="n">
        <v>2028</v>
      </c>
      <c r="B28" s="92" t="s">
        <v>620</v>
      </c>
      <c r="C28" s="92" t="s">
        <v>621</v>
      </c>
      <c r="D28" s="92" t="s">
        <v>618</v>
      </c>
      <c r="E28" s="93" t="n">
        <v>5</v>
      </c>
      <c r="F28" s="93" t="n">
        <v>5</v>
      </c>
      <c r="G28" s="93" t="n">
        <f aca="false">E28+F28</f>
        <v>10</v>
      </c>
      <c r="H28" s="94" t="n">
        <f aca="false">E28*Assumptions!$B$10</f>
        <v>183750</v>
      </c>
      <c r="I28" s="94" t="n">
        <f aca="false">F28*Assumptions!$B$10</f>
        <v>183750</v>
      </c>
    </row>
    <row r="29" customFormat="false" ht="15" hidden="false" customHeight="true" outlineLevel="0" collapsed="false">
      <c r="A29" s="92" t="n">
        <v>2028</v>
      </c>
      <c r="B29" s="92" t="s">
        <v>616</v>
      </c>
      <c r="C29" s="92" t="s">
        <v>622</v>
      </c>
      <c r="D29" s="92" t="s">
        <v>613</v>
      </c>
      <c r="E29" s="93" t="n">
        <v>3</v>
      </c>
      <c r="F29" s="93" t="n">
        <v>1</v>
      </c>
      <c r="G29" s="93" t="n">
        <f aca="false">E29+F29</f>
        <v>4</v>
      </c>
      <c r="H29" s="94" t="n">
        <f aca="false">E29*Assumptions!$B$10</f>
        <v>110250</v>
      </c>
      <c r="I29" s="94" t="n">
        <f aca="false">F29*Assumptions!$B$10</f>
        <v>36750</v>
      </c>
    </row>
    <row r="30" customFormat="false" ht="15" hidden="false" customHeight="true" outlineLevel="0" collapsed="false">
      <c r="A30" s="92" t="n">
        <v>2028</v>
      </c>
      <c r="B30" s="92" t="s">
        <v>620</v>
      </c>
      <c r="C30" s="92" t="s">
        <v>623</v>
      </c>
      <c r="D30" s="92" t="s">
        <v>618</v>
      </c>
      <c r="E30" s="93" t="n">
        <v>3</v>
      </c>
      <c r="F30" s="93" t="n">
        <v>3</v>
      </c>
      <c r="G30" s="93" t="n">
        <f aca="false">E30+F30</f>
        <v>6</v>
      </c>
      <c r="H30" s="94" t="n">
        <f aca="false">E30*Assumptions!$B$10</f>
        <v>110250</v>
      </c>
      <c r="I30" s="94" t="n">
        <f aca="false">F30*Assumptions!$B$10</f>
        <v>110250</v>
      </c>
    </row>
    <row r="31" customFormat="false" ht="15" hidden="false" customHeight="true" outlineLevel="0" collapsed="false">
      <c r="A31" s="92" t="n">
        <v>2028</v>
      </c>
      <c r="B31" s="92" t="s">
        <v>620</v>
      </c>
      <c r="C31" s="92" t="s">
        <v>624</v>
      </c>
      <c r="D31" s="92" t="s">
        <v>615</v>
      </c>
      <c r="E31" s="93" t="n">
        <v>2</v>
      </c>
      <c r="F31" s="93" t="n">
        <v>0</v>
      </c>
      <c r="G31" s="93" t="n">
        <f aca="false">E31+F31</f>
        <v>2</v>
      </c>
      <c r="H31" s="94" t="n">
        <f aca="false">E31*Assumptions!$B$10</f>
        <v>73500</v>
      </c>
      <c r="I31" s="94" t="n">
        <f aca="false">F31*Assumptions!$B$10</f>
        <v>0</v>
      </c>
    </row>
    <row r="32" customFormat="false" ht="15" hidden="false" customHeight="true" outlineLevel="0" collapsed="false">
      <c r="A32" s="92" t="n">
        <v>2028</v>
      </c>
      <c r="B32" s="92" t="s">
        <v>338</v>
      </c>
      <c r="C32" s="92" t="s">
        <v>625</v>
      </c>
      <c r="D32" s="92" t="s">
        <v>185</v>
      </c>
      <c r="E32" s="93" t="n">
        <v>0</v>
      </c>
      <c r="F32" s="93" t="n">
        <v>4</v>
      </c>
      <c r="G32" s="93" t="n">
        <f aca="false">E32+F32</f>
        <v>4</v>
      </c>
      <c r="H32" s="94" t="n">
        <f aca="false">E32*Assumptions!$B$10</f>
        <v>0</v>
      </c>
      <c r="I32" s="94" t="n">
        <f aca="false">F32*Assumptions!$B$10</f>
        <v>147000</v>
      </c>
    </row>
    <row r="33" customFormat="false" ht="15" hidden="false" customHeight="true" outlineLevel="0" collapsed="false">
      <c r="A33" s="92" t="n">
        <v>2028</v>
      </c>
      <c r="B33" s="92" t="s">
        <v>338</v>
      </c>
      <c r="C33" s="92" t="s">
        <v>626</v>
      </c>
      <c r="D33" s="92" t="s">
        <v>185</v>
      </c>
      <c r="E33" s="93" t="n">
        <v>0</v>
      </c>
      <c r="F33" s="93" t="n">
        <v>6</v>
      </c>
      <c r="G33" s="93" t="n">
        <f aca="false">E33+F33</f>
        <v>6</v>
      </c>
      <c r="H33" s="94" t="n">
        <f aca="false">E33*Assumptions!$B$10</f>
        <v>0</v>
      </c>
      <c r="I33" s="94" t="n">
        <f aca="false">F33*Assumptions!$B$10</f>
        <v>220500</v>
      </c>
    </row>
    <row r="34" customFormat="false" ht="15" hidden="false" customHeight="true" outlineLevel="0" collapsed="false">
      <c r="A34" s="92" t="n">
        <v>2028</v>
      </c>
      <c r="B34" s="92" t="s">
        <v>338</v>
      </c>
      <c r="C34" s="92" t="s">
        <v>627</v>
      </c>
      <c r="D34" s="92" t="s">
        <v>185</v>
      </c>
      <c r="E34" s="93" t="n">
        <v>0</v>
      </c>
      <c r="F34" s="93" t="n">
        <v>2</v>
      </c>
      <c r="G34" s="93" t="n">
        <f aca="false">E34+F34</f>
        <v>2</v>
      </c>
      <c r="H34" s="94" t="n">
        <f aca="false">E34*Assumptions!$B$10</f>
        <v>0</v>
      </c>
      <c r="I34" s="94" t="n">
        <f aca="false">F34*Assumptions!$B$10</f>
        <v>73500</v>
      </c>
    </row>
    <row r="35" customFormat="false" ht="15" hidden="false" customHeight="true" outlineLevel="0" collapsed="false">
      <c r="A35" s="92" t="n">
        <v>2028</v>
      </c>
      <c r="B35" s="92" t="s">
        <v>338</v>
      </c>
      <c r="C35" s="92" t="s">
        <v>628</v>
      </c>
      <c r="D35" s="92" t="s">
        <v>185</v>
      </c>
      <c r="E35" s="93" t="n">
        <v>0</v>
      </c>
      <c r="F35" s="93" t="n">
        <v>2</v>
      </c>
      <c r="G35" s="93" t="n">
        <f aca="false">E35+F35</f>
        <v>2</v>
      </c>
      <c r="H35" s="94" t="n">
        <f aca="false">E35*Assumptions!$B$10</f>
        <v>0</v>
      </c>
      <c r="I35" s="94" t="n">
        <f aca="false">F35*Assumptions!$B$10</f>
        <v>73500</v>
      </c>
    </row>
    <row r="36" customFormat="false" ht="15" hidden="false" customHeight="true" outlineLevel="0" collapsed="false">
      <c r="A36" s="92" t="n">
        <v>2028</v>
      </c>
      <c r="B36" s="92" t="s">
        <v>338</v>
      </c>
      <c r="C36" s="92" t="s">
        <v>629</v>
      </c>
      <c r="D36" s="92" t="s">
        <v>185</v>
      </c>
      <c r="E36" s="93" t="n">
        <v>0</v>
      </c>
      <c r="F36" s="93" t="n">
        <v>6</v>
      </c>
      <c r="G36" s="93" t="n">
        <f aca="false">E36+F36</f>
        <v>6</v>
      </c>
      <c r="H36" s="94" t="n">
        <f aca="false">E36*Assumptions!$B$10</f>
        <v>0</v>
      </c>
      <c r="I36" s="94" t="n">
        <f aca="false">F36*Assumptions!$B$10</f>
        <v>220500</v>
      </c>
    </row>
    <row r="37" customFormat="false" ht="15" hidden="false" customHeight="true" outlineLevel="0" collapsed="false">
      <c r="A37" s="92" t="n">
        <v>2028</v>
      </c>
      <c r="B37" s="92" t="s">
        <v>338</v>
      </c>
      <c r="C37" s="92" t="s">
        <v>630</v>
      </c>
      <c r="D37" s="92" t="s">
        <v>185</v>
      </c>
      <c r="E37" s="93" t="n">
        <v>0</v>
      </c>
      <c r="F37" s="93" t="n">
        <v>5</v>
      </c>
      <c r="G37" s="93" t="n">
        <f aca="false">E37+F37</f>
        <v>5</v>
      </c>
      <c r="H37" s="94" t="n">
        <f aca="false">E37*Assumptions!$B$10</f>
        <v>0</v>
      </c>
      <c r="I37" s="94" t="n">
        <f aca="false">F37*Assumptions!$B$10</f>
        <v>183750</v>
      </c>
    </row>
    <row r="38" customFormat="false" ht="15" hidden="false" customHeight="true" outlineLevel="0" collapsed="false">
      <c r="A38" s="92" t="n">
        <v>2028</v>
      </c>
      <c r="B38" s="92" t="s">
        <v>338</v>
      </c>
      <c r="C38" s="92" t="s">
        <v>631</v>
      </c>
      <c r="D38" s="92" t="s">
        <v>185</v>
      </c>
      <c r="E38" s="93" t="n">
        <v>0</v>
      </c>
      <c r="F38" s="93" t="n">
        <v>2</v>
      </c>
      <c r="G38" s="93" t="n">
        <f aca="false">E38+F38</f>
        <v>2</v>
      </c>
      <c r="H38" s="94" t="n">
        <f aca="false">E38*Assumptions!$B$10</f>
        <v>0</v>
      </c>
      <c r="I38" s="94" t="n">
        <f aca="false">F38*Assumptions!$B$10</f>
        <v>73500</v>
      </c>
    </row>
    <row r="39" customFormat="false" ht="15" hidden="false" customHeight="true" outlineLevel="0" collapsed="false">
      <c r="A39" s="92" t="n">
        <v>2029</v>
      </c>
      <c r="B39" s="92" t="s">
        <v>632</v>
      </c>
      <c r="C39" s="92" t="s">
        <v>633</v>
      </c>
      <c r="D39" s="92" t="s">
        <v>618</v>
      </c>
      <c r="E39" s="93" t="n">
        <v>10</v>
      </c>
      <c r="F39" s="93" t="n">
        <v>0</v>
      </c>
      <c r="G39" s="93" t="n">
        <f aca="false">E39+F39</f>
        <v>10</v>
      </c>
      <c r="H39" s="94" t="n">
        <f aca="false">E39*Assumptions!$B$10</f>
        <v>367500</v>
      </c>
      <c r="I39" s="94" t="n">
        <f aca="false">F39*Assumptions!$B$10</f>
        <v>0</v>
      </c>
    </row>
    <row r="40" customFormat="false" ht="15" hidden="false" customHeight="true" outlineLevel="0" collapsed="false">
      <c r="A40" s="92" t="n">
        <v>2029</v>
      </c>
      <c r="B40" s="92" t="s">
        <v>632</v>
      </c>
      <c r="C40" s="92" t="s">
        <v>634</v>
      </c>
      <c r="D40" s="92" t="s">
        <v>618</v>
      </c>
      <c r="E40" s="93" t="n">
        <v>8</v>
      </c>
      <c r="F40" s="93" t="n">
        <v>0</v>
      </c>
      <c r="G40" s="93" t="n">
        <f aca="false">E40+F40</f>
        <v>8</v>
      </c>
      <c r="H40" s="94" t="n">
        <f aca="false">E40*Assumptions!$B$10</f>
        <v>294000</v>
      </c>
      <c r="I40" s="94" t="n">
        <f aca="false">F40*Assumptions!$B$10</f>
        <v>0</v>
      </c>
    </row>
    <row r="41" customFormat="false" ht="15" hidden="false" customHeight="true" outlineLevel="0" collapsed="false">
      <c r="A41" s="92" t="n">
        <v>2029</v>
      </c>
      <c r="B41" s="92" t="s">
        <v>632</v>
      </c>
      <c r="C41" s="92" t="s">
        <v>635</v>
      </c>
      <c r="D41" s="92" t="s">
        <v>613</v>
      </c>
      <c r="E41" s="93" t="n">
        <v>6</v>
      </c>
      <c r="F41" s="93" t="n">
        <v>0</v>
      </c>
      <c r="G41" s="93" t="n">
        <f aca="false">E41+F41</f>
        <v>6</v>
      </c>
      <c r="H41" s="94" t="n">
        <f aca="false">E41*Assumptions!$B$10</f>
        <v>220500</v>
      </c>
      <c r="I41" s="94" t="n">
        <f aca="false">F41*Assumptions!$B$10</f>
        <v>0</v>
      </c>
    </row>
    <row r="42" customFormat="false" ht="15" hidden="false" customHeight="true" outlineLevel="0" collapsed="false">
      <c r="A42" s="92" t="n">
        <v>2029</v>
      </c>
      <c r="B42" s="92" t="s">
        <v>636</v>
      </c>
      <c r="C42" s="92" t="s">
        <v>637</v>
      </c>
      <c r="D42" s="92" t="s">
        <v>618</v>
      </c>
      <c r="E42" s="93" t="n">
        <v>5</v>
      </c>
      <c r="F42" s="93" t="n">
        <v>0</v>
      </c>
      <c r="G42" s="93" t="n">
        <f aca="false">E42+F42</f>
        <v>5</v>
      </c>
      <c r="H42" s="94" t="n">
        <f aca="false">E42*Assumptions!$B$10</f>
        <v>183750</v>
      </c>
      <c r="I42" s="94" t="n">
        <f aca="false">F42*Assumptions!$B$10</f>
        <v>0</v>
      </c>
    </row>
    <row r="43" customFormat="false" ht="15" hidden="false" customHeight="true" outlineLevel="0" collapsed="false">
      <c r="A43" s="92" t="n">
        <v>2029</v>
      </c>
      <c r="B43" s="92" t="s">
        <v>636</v>
      </c>
      <c r="C43" s="92" t="s">
        <v>638</v>
      </c>
      <c r="D43" s="92" t="s">
        <v>618</v>
      </c>
      <c r="E43" s="93" t="n">
        <v>6</v>
      </c>
      <c r="F43" s="93" t="n">
        <v>0</v>
      </c>
      <c r="G43" s="93" t="n">
        <f aca="false">E43+F43</f>
        <v>6</v>
      </c>
      <c r="H43" s="94" t="n">
        <f aca="false">E43*Assumptions!$B$10</f>
        <v>220500</v>
      </c>
      <c r="I43" s="94" t="n">
        <f aca="false">F43*Assumptions!$B$10</f>
        <v>0</v>
      </c>
    </row>
    <row r="44" customFormat="false" ht="15" hidden="false" customHeight="true" outlineLevel="0" collapsed="false">
      <c r="A44" s="92" t="n">
        <v>2029</v>
      </c>
      <c r="B44" s="92" t="s">
        <v>636</v>
      </c>
      <c r="C44" s="92" t="s">
        <v>639</v>
      </c>
      <c r="D44" s="92" t="s">
        <v>640</v>
      </c>
      <c r="E44" s="93" t="n">
        <v>5</v>
      </c>
      <c r="F44" s="93" t="n">
        <v>0</v>
      </c>
      <c r="G44" s="93" t="n">
        <f aca="false">E44+F44</f>
        <v>5</v>
      </c>
      <c r="H44" s="94" t="n">
        <f aca="false">E44*Assumptions!$B$10</f>
        <v>183750</v>
      </c>
      <c r="I44" s="94" t="n">
        <f aca="false">F44*Assumptions!$B$10</f>
        <v>0</v>
      </c>
    </row>
    <row r="45" customFormat="false" ht="15" hidden="false" customHeight="true" outlineLevel="0" collapsed="false">
      <c r="A45" s="92" t="n">
        <v>2029</v>
      </c>
      <c r="B45" s="92" t="s">
        <v>338</v>
      </c>
      <c r="C45" s="92" t="s">
        <v>641</v>
      </c>
      <c r="D45" s="92" t="s">
        <v>185</v>
      </c>
      <c r="E45" s="93" t="n">
        <v>0</v>
      </c>
      <c r="F45" s="93" t="n">
        <v>8</v>
      </c>
      <c r="G45" s="93" t="n">
        <f aca="false">E45+F45</f>
        <v>8</v>
      </c>
      <c r="H45" s="94" t="n">
        <f aca="false">E45*Assumptions!$B$10</f>
        <v>0</v>
      </c>
      <c r="I45" s="94" t="n">
        <f aca="false">F45*Assumptions!$B$10</f>
        <v>294000</v>
      </c>
    </row>
    <row r="46" customFormat="false" ht="15" hidden="false" customHeight="true" outlineLevel="0" collapsed="false">
      <c r="A46" s="92" t="n">
        <v>2029</v>
      </c>
      <c r="B46" s="92" t="s">
        <v>338</v>
      </c>
      <c r="C46" s="92" t="s">
        <v>642</v>
      </c>
      <c r="D46" s="92" t="s">
        <v>185</v>
      </c>
      <c r="E46" s="93" t="n">
        <v>0</v>
      </c>
      <c r="F46" s="93" t="n">
        <v>5</v>
      </c>
      <c r="G46" s="93" t="n">
        <f aca="false">E46+F46</f>
        <v>5</v>
      </c>
      <c r="H46" s="94" t="n">
        <f aca="false">E46*Assumptions!$B$10</f>
        <v>0</v>
      </c>
      <c r="I46" s="94" t="n">
        <f aca="false">F46*Assumptions!$B$10</f>
        <v>183750</v>
      </c>
    </row>
    <row r="47" customFormat="false" ht="15" hidden="false" customHeight="true" outlineLevel="0" collapsed="false">
      <c r="A47" s="92" t="n">
        <v>2029</v>
      </c>
      <c r="B47" s="92" t="s">
        <v>338</v>
      </c>
      <c r="C47" s="92" t="s">
        <v>643</v>
      </c>
      <c r="D47" s="92" t="s">
        <v>185</v>
      </c>
      <c r="E47" s="93" t="n">
        <v>0</v>
      </c>
      <c r="F47" s="93" t="n">
        <v>3</v>
      </c>
      <c r="G47" s="93" t="n">
        <f aca="false">E47+F47</f>
        <v>3</v>
      </c>
      <c r="H47" s="94" t="n">
        <f aca="false">E47*Assumptions!$B$10</f>
        <v>0</v>
      </c>
      <c r="I47" s="94" t="n">
        <f aca="false">F47*Assumptions!$B$10</f>
        <v>110250</v>
      </c>
    </row>
    <row r="48" customFormat="false" ht="15" hidden="false" customHeight="true" outlineLevel="0" collapsed="false">
      <c r="A48" s="92" t="n">
        <v>2029</v>
      </c>
      <c r="B48" s="92" t="s">
        <v>338</v>
      </c>
      <c r="C48" s="92" t="s">
        <v>629</v>
      </c>
      <c r="D48" s="92" t="s">
        <v>185</v>
      </c>
      <c r="E48" s="93" t="n">
        <v>0</v>
      </c>
      <c r="F48" s="93" t="n">
        <v>6</v>
      </c>
      <c r="G48" s="93" t="n">
        <f aca="false">E48+F48</f>
        <v>6</v>
      </c>
      <c r="H48" s="94" t="n">
        <f aca="false">E48*Assumptions!$B$10</f>
        <v>0</v>
      </c>
      <c r="I48" s="94" t="n">
        <f aca="false">F48*Assumptions!$B$10</f>
        <v>220500</v>
      </c>
    </row>
    <row r="49" customFormat="false" ht="15" hidden="false" customHeight="true" outlineLevel="0" collapsed="false">
      <c r="A49" s="92" t="n">
        <v>2029</v>
      </c>
      <c r="B49" s="92" t="s">
        <v>338</v>
      </c>
      <c r="C49" s="92" t="s">
        <v>630</v>
      </c>
      <c r="D49" s="92" t="s">
        <v>185</v>
      </c>
      <c r="E49" s="93" t="n">
        <v>0</v>
      </c>
      <c r="F49" s="93" t="n">
        <v>4</v>
      </c>
      <c r="G49" s="93" t="n">
        <f aca="false">E49+F49</f>
        <v>4</v>
      </c>
      <c r="H49" s="94" t="n">
        <f aca="false">E49*Assumptions!$B$10</f>
        <v>0</v>
      </c>
      <c r="I49" s="94" t="n">
        <f aca="false">F49*Assumptions!$B$10</f>
        <v>147000</v>
      </c>
    </row>
    <row r="50" customFormat="false" ht="15" hidden="false" customHeight="true" outlineLevel="0" collapsed="false">
      <c r="A50" s="92" t="n">
        <v>2030</v>
      </c>
      <c r="B50" s="92" t="s">
        <v>644</v>
      </c>
      <c r="C50" s="92" t="s">
        <v>645</v>
      </c>
      <c r="D50" s="92" t="s">
        <v>618</v>
      </c>
      <c r="E50" s="93" t="n">
        <v>8</v>
      </c>
      <c r="F50" s="93" t="n">
        <v>0</v>
      </c>
      <c r="G50" s="93" t="n">
        <f aca="false">E50+F50</f>
        <v>8</v>
      </c>
      <c r="H50" s="94" t="n">
        <f aca="false">E50*Assumptions!$B$10</f>
        <v>294000</v>
      </c>
      <c r="I50" s="94" t="n">
        <f aca="false">F50*Assumptions!$B$10</f>
        <v>0</v>
      </c>
    </row>
    <row r="51" customFormat="false" ht="15" hidden="false" customHeight="true" outlineLevel="0" collapsed="false">
      <c r="A51" s="92" t="n">
        <v>2030</v>
      </c>
      <c r="B51" s="92" t="s">
        <v>644</v>
      </c>
      <c r="C51" s="92" t="s">
        <v>646</v>
      </c>
      <c r="D51" s="92" t="s">
        <v>640</v>
      </c>
      <c r="E51" s="93" t="n">
        <v>9</v>
      </c>
      <c r="F51" s="93" t="n">
        <v>0</v>
      </c>
      <c r="G51" s="93" t="n">
        <f aca="false">E51+F51</f>
        <v>9</v>
      </c>
      <c r="H51" s="94" t="n">
        <f aca="false">E51*Assumptions!$B$10</f>
        <v>330750</v>
      </c>
      <c r="I51" s="94" t="n">
        <f aca="false">F51*Assumptions!$B$10</f>
        <v>0</v>
      </c>
    </row>
    <row r="52" customFormat="false" ht="15" hidden="false" customHeight="true" outlineLevel="0" collapsed="false">
      <c r="A52" s="92" t="n">
        <v>2030</v>
      </c>
      <c r="B52" s="92" t="s">
        <v>647</v>
      </c>
      <c r="C52" s="92" t="s">
        <v>648</v>
      </c>
      <c r="D52" s="92" t="s">
        <v>618</v>
      </c>
      <c r="E52" s="93" t="n">
        <v>6</v>
      </c>
      <c r="F52" s="93" t="n">
        <v>0</v>
      </c>
      <c r="G52" s="93" t="n">
        <f aca="false">E52+F52</f>
        <v>6</v>
      </c>
      <c r="H52" s="94" t="n">
        <f aca="false">E52*Assumptions!$B$10</f>
        <v>220500</v>
      </c>
      <c r="I52" s="94" t="n">
        <f aca="false">F52*Assumptions!$B$10</f>
        <v>0</v>
      </c>
    </row>
    <row r="53" customFormat="false" ht="15" hidden="false" customHeight="true" outlineLevel="0" collapsed="false">
      <c r="A53" s="92" t="n">
        <v>2030</v>
      </c>
      <c r="B53" s="92" t="s">
        <v>647</v>
      </c>
      <c r="C53" s="92" t="s">
        <v>649</v>
      </c>
      <c r="D53" s="92" t="s">
        <v>640</v>
      </c>
      <c r="E53" s="93" t="n">
        <v>4</v>
      </c>
      <c r="F53" s="93" t="n">
        <v>0</v>
      </c>
      <c r="G53" s="93" t="n">
        <f aca="false">E53+F53</f>
        <v>4</v>
      </c>
      <c r="H53" s="94" t="n">
        <f aca="false">E53*Assumptions!$B$10</f>
        <v>147000</v>
      </c>
      <c r="I53" s="94" t="n">
        <f aca="false">F53*Assumptions!$B$10</f>
        <v>0</v>
      </c>
    </row>
    <row r="54" customFormat="false" ht="15" hidden="false" customHeight="true" outlineLevel="0" collapsed="false">
      <c r="A54" s="92" t="n">
        <v>2030</v>
      </c>
      <c r="B54" s="92" t="s">
        <v>338</v>
      </c>
      <c r="C54" s="92" t="s">
        <v>650</v>
      </c>
      <c r="D54" s="92" t="s">
        <v>185</v>
      </c>
      <c r="E54" s="93" t="n">
        <v>0</v>
      </c>
      <c r="F54" s="93" t="n">
        <v>8</v>
      </c>
      <c r="G54" s="93" t="n">
        <f aca="false">E54+F54</f>
        <v>8</v>
      </c>
      <c r="H54" s="94" t="n">
        <f aca="false">E54*Assumptions!$B$10</f>
        <v>0</v>
      </c>
      <c r="I54" s="94" t="n">
        <f aca="false">F54*Assumptions!$B$10</f>
        <v>294000</v>
      </c>
    </row>
    <row r="55" customFormat="false" ht="15" hidden="false" customHeight="true" outlineLevel="0" collapsed="false">
      <c r="A55" s="92" t="n">
        <v>2030</v>
      </c>
      <c r="B55" s="92" t="s">
        <v>338</v>
      </c>
      <c r="C55" s="92" t="s">
        <v>651</v>
      </c>
      <c r="D55" s="92" t="s">
        <v>185</v>
      </c>
      <c r="E55" s="93" t="n">
        <v>0</v>
      </c>
      <c r="F55" s="93" t="n">
        <v>6</v>
      </c>
      <c r="G55" s="93" t="n">
        <f aca="false">E55+F55</f>
        <v>6</v>
      </c>
      <c r="H55" s="94" t="n">
        <f aca="false">E55*Assumptions!$B$10</f>
        <v>0</v>
      </c>
      <c r="I55" s="94" t="n">
        <f aca="false">F55*Assumptions!$B$10</f>
        <v>220500</v>
      </c>
    </row>
    <row r="56" customFormat="false" ht="15" hidden="false" customHeight="true" outlineLevel="0" collapsed="false">
      <c r="A56" s="92" t="n">
        <v>2030</v>
      </c>
      <c r="B56" s="92" t="s">
        <v>338</v>
      </c>
      <c r="C56" s="92" t="s">
        <v>652</v>
      </c>
      <c r="D56" s="92" t="s">
        <v>185</v>
      </c>
      <c r="E56" s="93" t="n">
        <v>0</v>
      </c>
      <c r="F56" s="93" t="n">
        <v>4</v>
      </c>
      <c r="G56" s="93" t="n">
        <f aca="false">E56+F56</f>
        <v>4</v>
      </c>
      <c r="H56" s="94" t="n">
        <f aca="false">E56*Assumptions!$B$10</f>
        <v>0</v>
      </c>
      <c r="I56" s="94" t="n">
        <f aca="false">F56*Assumptions!$B$10</f>
        <v>147000</v>
      </c>
    </row>
    <row r="57" customFormat="false" ht="15" hidden="false" customHeight="true" outlineLevel="0" collapsed="false">
      <c r="A57" s="92" t="n">
        <v>2030</v>
      </c>
      <c r="B57" s="92" t="s">
        <v>338</v>
      </c>
      <c r="C57" s="92" t="s">
        <v>629</v>
      </c>
      <c r="D57" s="92" t="s">
        <v>185</v>
      </c>
      <c r="E57" s="93" t="n">
        <v>0</v>
      </c>
      <c r="F57" s="93" t="n">
        <v>7</v>
      </c>
      <c r="G57" s="93" t="n">
        <f aca="false">E57+F57</f>
        <v>7</v>
      </c>
      <c r="H57" s="94" t="n">
        <f aca="false">E57*Assumptions!$B$10</f>
        <v>0</v>
      </c>
      <c r="I57" s="94" t="n">
        <f aca="false">F57*Assumptions!$B$10</f>
        <v>257250</v>
      </c>
    </row>
    <row r="58" customFormat="false" ht="15" hidden="false" customHeight="true" outlineLevel="0" collapsed="false">
      <c r="A58" s="92" t="n">
        <v>2030</v>
      </c>
      <c r="B58" s="92" t="s">
        <v>338</v>
      </c>
      <c r="C58" s="92" t="s">
        <v>630</v>
      </c>
      <c r="D58" s="92" t="s">
        <v>185</v>
      </c>
      <c r="E58" s="93" t="n">
        <v>0</v>
      </c>
      <c r="F58" s="93" t="n">
        <v>4</v>
      </c>
      <c r="G58" s="93" t="n">
        <f aca="false">E58+F58</f>
        <v>4</v>
      </c>
      <c r="H58" s="94" t="n">
        <f aca="false">E58*Assumptions!$B$10</f>
        <v>0</v>
      </c>
      <c r="I58" s="94" t="n">
        <f aca="false">F58*Assumptions!$B$10</f>
        <v>147000</v>
      </c>
    </row>
    <row r="59" customFormat="false" ht="15" hidden="false" customHeight="true" outlineLevel="0" collapsed="false">
      <c r="A59" s="92" t="n">
        <v>2030</v>
      </c>
      <c r="B59" s="92" t="s">
        <v>338</v>
      </c>
      <c r="C59" s="92" t="s">
        <v>653</v>
      </c>
      <c r="D59" s="92" t="s">
        <v>185</v>
      </c>
      <c r="E59" s="93" t="n">
        <v>0</v>
      </c>
      <c r="F59" s="93" t="n">
        <v>4</v>
      </c>
      <c r="G59" s="93" t="n">
        <f aca="false">E59+F59</f>
        <v>4</v>
      </c>
      <c r="H59" s="94" t="n">
        <f aca="false">E59*Assumptions!$B$10</f>
        <v>0</v>
      </c>
      <c r="I59" s="94" t="n">
        <f aca="false">F59*Assumptions!$B$10</f>
        <v>147000</v>
      </c>
    </row>
    <row r="60" customFormat="false" ht="15" hidden="false" customHeight="true" outlineLevel="0" collapsed="false">
      <c r="A60" s="92" t="n">
        <v>2031</v>
      </c>
      <c r="B60" s="92" t="s">
        <v>654</v>
      </c>
      <c r="C60" s="92" t="s">
        <v>655</v>
      </c>
      <c r="D60" s="92" t="s">
        <v>640</v>
      </c>
      <c r="E60" s="93" t="n">
        <v>9</v>
      </c>
      <c r="F60" s="93" t="n">
        <v>0</v>
      </c>
      <c r="G60" s="93" t="n">
        <f aca="false">E60+F60</f>
        <v>9</v>
      </c>
      <c r="H60" s="94" t="n">
        <f aca="false">E60*Assumptions!$B$10</f>
        <v>330750</v>
      </c>
      <c r="I60" s="94" t="n">
        <f aca="false">F60*Assumptions!$B$10</f>
        <v>0</v>
      </c>
    </row>
    <row r="61" customFormat="false" ht="15" hidden="false" customHeight="true" outlineLevel="0" collapsed="false">
      <c r="A61" s="92" t="n">
        <v>2031</v>
      </c>
      <c r="B61" s="92" t="s">
        <v>654</v>
      </c>
      <c r="C61" s="92" t="s">
        <v>656</v>
      </c>
      <c r="D61" s="92" t="s">
        <v>618</v>
      </c>
      <c r="E61" s="93" t="n">
        <v>6</v>
      </c>
      <c r="F61" s="93" t="n">
        <v>0</v>
      </c>
      <c r="G61" s="93" t="n">
        <f aca="false">E61+F61</f>
        <v>6</v>
      </c>
      <c r="H61" s="94" t="n">
        <f aca="false">E61*Assumptions!$B$10</f>
        <v>220500</v>
      </c>
      <c r="I61" s="94" t="n">
        <f aca="false">F61*Assumptions!$B$10</f>
        <v>0</v>
      </c>
    </row>
    <row r="62" customFormat="false" ht="15" hidden="false" customHeight="true" outlineLevel="0" collapsed="false">
      <c r="A62" s="92" t="n">
        <v>2031</v>
      </c>
      <c r="B62" s="92" t="s">
        <v>657</v>
      </c>
      <c r="C62" s="92" t="s">
        <v>658</v>
      </c>
      <c r="D62" s="92" t="s">
        <v>615</v>
      </c>
      <c r="E62" s="93" t="n">
        <v>7</v>
      </c>
      <c r="F62" s="93" t="n">
        <v>0</v>
      </c>
      <c r="G62" s="93" t="n">
        <f aca="false">E62+F62</f>
        <v>7</v>
      </c>
      <c r="H62" s="94" t="n">
        <f aca="false">E62*Assumptions!$B$10</f>
        <v>257250</v>
      </c>
      <c r="I62" s="94" t="n">
        <f aca="false">F62*Assumptions!$B$10</f>
        <v>0</v>
      </c>
    </row>
    <row r="63" customFormat="false" ht="15" hidden="false" customHeight="true" outlineLevel="0" collapsed="false">
      <c r="A63" s="92" t="n">
        <v>2031</v>
      </c>
      <c r="B63" s="92" t="s">
        <v>657</v>
      </c>
      <c r="C63" s="92" t="s">
        <v>659</v>
      </c>
      <c r="D63" s="92" t="s">
        <v>613</v>
      </c>
      <c r="E63" s="93" t="n">
        <v>5</v>
      </c>
      <c r="F63" s="93" t="n">
        <v>0</v>
      </c>
      <c r="G63" s="93" t="n">
        <f aca="false">E63+F63</f>
        <v>5</v>
      </c>
      <c r="H63" s="94" t="n">
        <f aca="false">E63*Assumptions!$B$10</f>
        <v>183750</v>
      </c>
      <c r="I63" s="94" t="n">
        <f aca="false">F63*Assumptions!$B$10</f>
        <v>0</v>
      </c>
    </row>
    <row r="64" customFormat="false" ht="15" hidden="false" customHeight="true" outlineLevel="0" collapsed="false">
      <c r="A64" s="92" t="n">
        <v>2031</v>
      </c>
      <c r="B64" s="92" t="s">
        <v>657</v>
      </c>
      <c r="C64" s="92" t="s">
        <v>660</v>
      </c>
      <c r="D64" s="92" t="s">
        <v>615</v>
      </c>
      <c r="E64" s="93" t="n">
        <v>3</v>
      </c>
      <c r="F64" s="93" t="n">
        <v>0</v>
      </c>
      <c r="G64" s="93" t="n">
        <f aca="false">E64+F64</f>
        <v>3</v>
      </c>
      <c r="H64" s="94" t="n">
        <f aca="false">E64*Assumptions!$B$10</f>
        <v>110250</v>
      </c>
      <c r="I64" s="94" t="n">
        <f aca="false">F64*Assumptions!$B$10</f>
        <v>0</v>
      </c>
    </row>
    <row r="65" customFormat="false" ht="15" hidden="false" customHeight="true" outlineLevel="0" collapsed="false">
      <c r="A65" s="92" t="n">
        <v>2031</v>
      </c>
      <c r="B65" s="92" t="s">
        <v>338</v>
      </c>
      <c r="C65" s="92" t="s">
        <v>661</v>
      </c>
      <c r="D65" s="92" t="s">
        <v>185</v>
      </c>
      <c r="E65" s="93" t="n">
        <v>0</v>
      </c>
      <c r="F65" s="93" t="n">
        <v>5</v>
      </c>
      <c r="G65" s="93" t="n">
        <f aca="false">E65+F65</f>
        <v>5</v>
      </c>
      <c r="H65" s="94" t="n">
        <f aca="false">E65*Assumptions!$B$10</f>
        <v>0</v>
      </c>
      <c r="I65" s="94" t="n">
        <f aca="false">F65*Assumptions!$B$10</f>
        <v>183750</v>
      </c>
    </row>
    <row r="66" customFormat="false" ht="15" hidden="false" customHeight="true" outlineLevel="0" collapsed="false">
      <c r="A66" s="92" t="n">
        <v>2031</v>
      </c>
      <c r="B66" s="92" t="s">
        <v>338</v>
      </c>
      <c r="C66" s="92" t="s">
        <v>662</v>
      </c>
      <c r="D66" s="92" t="s">
        <v>185</v>
      </c>
      <c r="E66" s="93" t="n">
        <v>0</v>
      </c>
      <c r="F66" s="93" t="n">
        <v>4</v>
      </c>
      <c r="G66" s="93" t="n">
        <f aca="false">E66+F66</f>
        <v>4</v>
      </c>
      <c r="H66" s="94" t="n">
        <f aca="false">E66*Assumptions!$B$10</f>
        <v>0</v>
      </c>
      <c r="I66" s="94" t="n">
        <f aca="false">F66*Assumptions!$B$10</f>
        <v>147000</v>
      </c>
    </row>
    <row r="67" customFormat="false" ht="15" hidden="false" customHeight="true" outlineLevel="0" collapsed="false">
      <c r="A67" s="92" t="n">
        <v>2031</v>
      </c>
      <c r="B67" s="92" t="s">
        <v>338</v>
      </c>
      <c r="C67" s="92" t="s">
        <v>663</v>
      </c>
      <c r="D67" s="92" t="s">
        <v>185</v>
      </c>
      <c r="E67" s="93" t="n">
        <v>0</v>
      </c>
      <c r="F67" s="93" t="n">
        <v>4</v>
      </c>
      <c r="G67" s="93" t="n">
        <f aca="false">E67+F67</f>
        <v>4</v>
      </c>
      <c r="H67" s="94" t="n">
        <f aca="false">E67*Assumptions!$B$10</f>
        <v>0</v>
      </c>
      <c r="I67" s="94" t="n">
        <f aca="false">F67*Assumptions!$B$10</f>
        <v>147000</v>
      </c>
    </row>
    <row r="68" customFormat="false" ht="15" hidden="false" customHeight="true" outlineLevel="0" collapsed="false">
      <c r="A68" s="92" t="n">
        <v>2031</v>
      </c>
      <c r="B68" s="92" t="s">
        <v>338</v>
      </c>
      <c r="C68" s="92" t="s">
        <v>629</v>
      </c>
      <c r="D68" s="92" t="s">
        <v>185</v>
      </c>
      <c r="E68" s="93" t="n">
        <v>0</v>
      </c>
      <c r="F68" s="93" t="n">
        <v>8</v>
      </c>
      <c r="G68" s="93" t="n">
        <f aca="false">E68+F68</f>
        <v>8</v>
      </c>
      <c r="H68" s="94" t="n">
        <f aca="false">E68*Assumptions!$B$10</f>
        <v>0</v>
      </c>
      <c r="I68" s="94" t="n">
        <f aca="false">F68*Assumptions!$B$10</f>
        <v>294000</v>
      </c>
    </row>
    <row r="69" customFormat="false" ht="15" hidden="false" customHeight="true" outlineLevel="0" collapsed="false">
      <c r="A69" s="92" t="n">
        <v>2031</v>
      </c>
      <c r="B69" s="92" t="s">
        <v>338</v>
      </c>
      <c r="C69" s="92" t="s">
        <v>630</v>
      </c>
      <c r="D69" s="92" t="s">
        <v>185</v>
      </c>
      <c r="E69" s="93" t="n">
        <v>0</v>
      </c>
      <c r="F69" s="93" t="n">
        <v>4</v>
      </c>
      <c r="G69" s="93" t="n">
        <f aca="false">E69+F69</f>
        <v>4</v>
      </c>
      <c r="H69" s="94" t="n">
        <f aca="false">E69*Assumptions!$B$10</f>
        <v>0</v>
      </c>
      <c r="I69" s="94" t="n">
        <f aca="false">F69*Assumptions!$B$10</f>
        <v>147000</v>
      </c>
    </row>
    <row r="70" customFormat="false" ht="15" hidden="false" customHeight="true" outlineLevel="0" collapsed="false">
      <c r="A70" s="92" t="n">
        <v>2031</v>
      </c>
      <c r="B70" s="92" t="s">
        <v>338</v>
      </c>
      <c r="C70" s="92" t="s">
        <v>653</v>
      </c>
      <c r="D70" s="92" t="s">
        <v>185</v>
      </c>
      <c r="E70" s="93" t="n">
        <v>0</v>
      </c>
      <c r="F70" s="93" t="n">
        <v>3</v>
      </c>
      <c r="G70" s="93" t="n">
        <f aca="false">E70+F70</f>
        <v>3</v>
      </c>
      <c r="H70" s="94" t="n">
        <f aca="false">E70*Assumptions!$B$10</f>
        <v>0</v>
      </c>
      <c r="I70" s="94" t="n">
        <f aca="false">F70*Assumptions!$B$10</f>
        <v>110250</v>
      </c>
    </row>
    <row r="71" customFormat="false" ht="15" hidden="false" customHeight="true" outlineLevel="0" collapsed="false">
      <c r="C71" s="13" t="s">
        <v>355</v>
      </c>
      <c r="E71" s="95" t="n">
        <f aca="false">SUM(E5:E70)</f>
        <v>151.35</v>
      </c>
      <c r="F71" s="95" t="n">
        <f aca="false">SUM(F5:F70)</f>
        <v>169.15</v>
      </c>
      <c r="G71" s="95" t="n">
        <f aca="false">SUM(G5:G70)</f>
        <v>320.5</v>
      </c>
      <c r="H71" s="55" t="n">
        <f aca="false">SUM(H5:H70)</f>
        <v>5562112.5</v>
      </c>
      <c r="I71" s="55" t="n">
        <f aca="false">SUM(I5:I70)</f>
        <v>6216262.5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2"/>
    <col collapsed="false" customWidth="true" hidden="false" outlineLevel="0" max="4" min="3" style="1" width="15"/>
    <col collapsed="false" customWidth="true" hidden="false" outlineLevel="0" max="6" min="5" style="1" width="12"/>
    <col collapsed="false" customWidth="true" hidden="false" outlineLevel="0" max="8" min="7" style="1" width="14"/>
  </cols>
  <sheetData>
    <row r="1" customFormat="false" ht="15.75" hidden="false" customHeight="true" outlineLevel="0" collapsed="false">
      <c r="A1" s="90" t="s">
        <v>664</v>
      </c>
    </row>
    <row r="3" customFormat="false" ht="15" hidden="false" customHeight="true" outlineLevel="0" collapsed="false">
      <c r="A3" s="91" t="s">
        <v>352</v>
      </c>
      <c r="B3" s="91" t="s">
        <v>665</v>
      </c>
      <c r="C3" s="91" t="s">
        <v>608</v>
      </c>
      <c r="D3" s="91" t="s">
        <v>609</v>
      </c>
      <c r="E3" s="91" t="s">
        <v>666</v>
      </c>
      <c r="F3" s="91" t="s">
        <v>667</v>
      </c>
      <c r="G3" s="91" t="s">
        <v>611</v>
      </c>
      <c r="H3" s="91" t="s">
        <v>612</v>
      </c>
    </row>
    <row r="4" customFormat="false" ht="15" hidden="false" customHeight="true" outlineLevel="0" collapsed="false">
      <c r="A4" s="92" t="n">
        <v>2027</v>
      </c>
      <c r="B4" s="92" t="s">
        <v>668</v>
      </c>
      <c r="C4" s="93" t="n">
        <f aca="false">SUMIF('Asset plan CY27-31'!$A$5:$A$70,$A4,'Asset plan CY27-31'!$E$5:$E$70)</f>
        <v>31.35</v>
      </c>
      <c r="D4" s="93" t="n">
        <f aca="false">SUMIF('Asset plan CY27-31'!$A$5:$A$70,$A4,'Asset plan CY27-31'!$F$5:$F$70)</f>
        <v>40.15</v>
      </c>
      <c r="E4" s="93" t="n">
        <f aca="false">C4+D4</f>
        <v>71.5</v>
      </c>
      <c r="F4" s="96" t="n">
        <f aca="false">C4/E4</f>
        <v>0.438461538461538</v>
      </c>
      <c r="G4" s="94" t="n">
        <f aca="false">C4*Assumptions!$B$10</f>
        <v>1152112.5</v>
      </c>
      <c r="H4" s="94" t="n">
        <f aca="false">D4*Assumptions!$B$10</f>
        <v>1475512.5</v>
      </c>
    </row>
    <row r="5" customFormat="false" ht="15" hidden="false" customHeight="true" outlineLevel="0" collapsed="false">
      <c r="A5" s="92" t="n">
        <v>2028</v>
      </c>
      <c r="B5" s="92" t="s">
        <v>669</v>
      </c>
      <c r="C5" s="93" t="n">
        <f aca="false">SUMIF('Asset plan CY27-31'!$A$5:$A$70,$A5,'Asset plan CY27-31'!$E$5:$E$70)</f>
        <v>23</v>
      </c>
      <c r="D5" s="93" t="n">
        <f aca="false">SUMIF('Asset plan CY27-31'!$A$5:$A$70,$A5,'Asset plan CY27-31'!$F$5:$F$70)</f>
        <v>42</v>
      </c>
      <c r="E5" s="93" t="n">
        <f aca="false">C5+D5</f>
        <v>65</v>
      </c>
      <c r="F5" s="96" t="n">
        <f aca="false">C5/E5</f>
        <v>0.353846153846154</v>
      </c>
      <c r="G5" s="94" t="n">
        <f aca="false">C5*Assumptions!$B$10</f>
        <v>845250</v>
      </c>
      <c r="H5" s="94" t="n">
        <f aca="false">D5*Assumptions!$B$10</f>
        <v>1543500</v>
      </c>
    </row>
    <row r="6" customFormat="false" ht="15" hidden="false" customHeight="true" outlineLevel="0" collapsed="false">
      <c r="A6" s="92" t="n">
        <v>2029</v>
      </c>
      <c r="B6" s="92" t="s">
        <v>670</v>
      </c>
      <c r="C6" s="93" t="n">
        <f aca="false">SUMIF('Asset plan CY27-31'!$A$5:$A$70,$A6,'Asset plan CY27-31'!$E$5:$E$70)</f>
        <v>40</v>
      </c>
      <c r="D6" s="93" t="n">
        <f aca="false">SUMIF('Asset plan CY27-31'!$A$5:$A$70,$A6,'Asset plan CY27-31'!$F$5:$F$70)</f>
        <v>26</v>
      </c>
      <c r="E6" s="93" t="n">
        <f aca="false">C6+D6</f>
        <v>66</v>
      </c>
      <c r="F6" s="96" t="n">
        <f aca="false">C6/E6</f>
        <v>0.606060606060606</v>
      </c>
      <c r="G6" s="94" t="n">
        <f aca="false">C6*Assumptions!$B$10</f>
        <v>1470000</v>
      </c>
      <c r="H6" s="94" t="n">
        <f aca="false">D6*Assumptions!$B$10</f>
        <v>955500</v>
      </c>
    </row>
    <row r="7" customFormat="false" ht="15" hidden="false" customHeight="true" outlineLevel="0" collapsed="false">
      <c r="A7" s="92" t="n">
        <v>2030</v>
      </c>
      <c r="B7" s="92" t="s">
        <v>671</v>
      </c>
      <c r="C7" s="93" t="n">
        <f aca="false">SUMIF('Asset plan CY27-31'!$A$5:$A$70,$A7,'Asset plan CY27-31'!$E$5:$E$70)</f>
        <v>27</v>
      </c>
      <c r="D7" s="93" t="n">
        <f aca="false">SUMIF('Asset plan CY27-31'!$A$5:$A$70,$A7,'Asset plan CY27-31'!$F$5:$F$70)</f>
        <v>33</v>
      </c>
      <c r="E7" s="93" t="n">
        <f aca="false">C7+D7</f>
        <v>60</v>
      </c>
      <c r="F7" s="96" t="n">
        <f aca="false">C7/E7</f>
        <v>0.45</v>
      </c>
      <c r="G7" s="94" t="n">
        <f aca="false">C7*Assumptions!$B$10</f>
        <v>992250</v>
      </c>
      <c r="H7" s="94" t="n">
        <f aca="false">D7*Assumptions!$B$10</f>
        <v>1212750</v>
      </c>
    </row>
    <row r="8" customFormat="false" ht="15" hidden="false" customHeight="true" outlineLevel="0" collapsed="false">
      <c r="A8" s="92" t="n">
        <v>2031</v>
      </c>
      <c r="B8" s="92" t="s">
        <v>672</v>
      </c>
      <c r="C8" s="93" t="n">
        <f aca="false">SUMIF('Asset plan CY27-31'!$A$5:$A$70,$A8,'Asset plan CY27-31'!$E$5:$E$70)</f>
        <v>30</v>
      </c>
      <c r="D8" s="93" t="n">
        <f aca="false">SUMIF('Asset plan CY27-31'!$A$5:$A$70,$A8,'Asset plan CY27-31'!$F$5:$F$70)</f>
        <v>28</v>
      </c>
      <c r="E8" s="93" t="n">
        <f aca="false">C8+D8</f>
        <v>58</v>
      </c>
      <c r="F8" s="96" t="n">
        <f aca="false">C8/E8</f>
        <v>0.517241379310345</v>
      </c>
      <c r="G8" s="94" t="n">
        <f aca="false">C8*Assumptions!$B$10</f>
        <v>1102500</v>
      </c>
      <c r="H8" s="94" t="n">
        <f aca="false">D8*Assumptions!$B$10</f>
        <v>1029000</v>
      </c>
    </row>
    <row r="9" customFormat="false" ht="15" hidden="false" customHeight="true" outlineLevel="0" collapsed="false">
      <c r="B9" s="13" t="s">
        <v>673</v>
      </c>
      <c r="C9" s="95" t="n">
        <f aca="false">SUM(C4:C8)</f>
        <v>151.35</v>
      </c>
      <c r="D9" s="95" t="n">
        <f aca="false">SUM(D4:D8)</f>
        <v>169.15</v>
      </c>
      <c r="E9" s="95" t="n">
        <f aca="false">SUM(E4:E8)</f>
        <v>320.5</v>
      </c>
      <c r="F9" s="97" t="n">
        <f aca="false">C9/E9</f>
        <v>0.472230889235569</v>
      </c>
      <c r="G9" s="55" t="n">
        <f aca="false">SUM(G4:G8)</f>
        <v>5562112.5</v>
      </c>
      <c r="H9" s="55" t="n">
        <f aca="false">SUM(H4:H8)</f>
        <v>6216262.5</v>
      </c>
    </row>
    <row r="11" customFormat="false" ht="15" hidden="false" customHeight="true" outlineLevel="0" collapsed="false">
      <c r="A11" s="98" t="s">
        <v>674</v>
      </c>
    </row>
    <row r="12" customFormat="false" ht="15" hidden="false" customHeight="true" outlineLevel="0" collapsed="false">
      <c r="A12" s="99" t="s">
        <v>607</v>
      </c>
      <c r="B12" s="99" t="s">
        <v>608</v>
      </c>
      <c r="C12" s="99" t="s">
        <v>675</v>
      </c>
      <c r="D12" s="99" t="s">
        <v>611</v>
      </c>
    </row>
    <row r="13" customFormat="false" ht="15" hidden="false" customHeight="true" outlineLevel="0" collapsed="false">
      <c r="A13" s="92" t="s">
        <v>618</v>
      </c>
      <c r="B13" s="93" t="n">
        <f aca="false">SUMIF('Asset plan CY27-31'!$D$5:$D$70,$A13,'Asset plan CY27-31'!$E$5:$E$70)</f>
        <v>63</v>
      </c>
      <c r="C13" s="96" t="n">
        <f aca="false">B13/$B$18</f>
        <v>0.416253716551041</v>
      </c>
      <c r="D13" s="94" t="n">
        <f aca="false">B13*Assumptions!$B$10</f>
        <v>2315250</v>
      </c>
    </row>
    <row r="14" customFormat="false" ht="15" hidden="false" customHeight="true" outlineLevel="0" collapsed="false">
      <c r="A14" s="92" t="s">
        <v>613</v>
      </c>
      <c r="B14" s="93" t="n">
        <f aca="false">SUMIF('Asset plan CY27-31'!$D$5:$D$70,$A14,'Asset plan CY27-31'!$E$5:$E$70)</f>
        <v>29.15</v>
      </c>
      <c r="C14" s="96" t="n">
        <f aca="false">B14/$B$18</f>
        <v>0.192599933927982</v>
      </c>
      <c r="D14" s="94" t="n">
        <f aca="false">B14*Assumptions!$B$10</f>
        <v>1071262.5</v>
      </c>
    </row>
    <row r="15" customFormat="false" ht="15" hidden="false" customHeight="true" outlineLevel="0" collapsed="false">
      <c r="A15" s="92" t="s">
        <v>640</v>
      </c>
      <c r="B15" s="93" t="n">
        <f aca="false">SUMIF('Asset plan CY27-31'!$D$5:$D$70,$A15,'Asset plan CY27-31'!$E$5:$E$70)</f>
        <v>27</v>
      </c>
      <c r="C15" s="96" t="n">
        <f aca="false">B15/$B$18</f>
        <v>0.178394449950446</v>
      </c>
      <c r="D15" s="94" t="n">
        <f aca="false">B15*Assumptions!$B$10</f>
        <v>992250</v>
      </c>
    </row>
    <row r="16" customFormat="false" ht="15" hidden="false" customHeight="true" outlineLevel="0" collapsed="false">
      <c r="A16" s="92" t="s">
        <v>615</v>
      </c>
      <c r="B16" s="93" t="n">
        <f aca="false">SUMIF('Asset plan CY27-31'!$D$5:$D$70,$A16,'Asset plan CY27-31'!$E$5:$E$70)</f>
        <v>16.7</v>
      </c>
      <c r="C16" s="96" t="n">
        <f aca="false">B16/$B$18</f>
        <v>0.110340270895276</v>
      </c>
      <c r="D16" s="94" t="n">
        <f aca="false">B16*Assumptions!$B$10</f>
        <v>613725</v>
      </c>
    </row>
    <row r="17" customFormat="false" ht="15" hidden="false" customHeight="true" outlineLevel="0" collapsed="false">
      <c r="A17" s="92" t="s">
        <v>614</v>
      </c>
      <c r="B17" s="93" t="n">
        <f aca="false">SUMIF('Asset plan CY27-31'!$D$5:$D$70,$A17,'Asset plan CY27-31'!$E$5:$E$70)</f>
        <v>15.5</v>
      </c>
      <c r="C17" s="96" t="n">
        <f aca="false">B17/$B$18</f>
        <v>0.102411628675256</v>
      </c>
      <c r="D17" s="94" t="n">
        <f aca="false">B17*Assumptions!$B$10</f>
        <v>569625</v>
      </c>
    </row>
    <row r="18" customFormat="false" ht="15" hidden="false" customHeight="true" outlineLevel="0" collapsed="false">
      <c r="A18" s="13" t="s">
        <v>676</v>
      </c>
      <c r="B18" s="95" t="n">
        <f aca="false">SUM(B13:B17)</f>
        <v>151.35</v>
      </c>
      <c r="D18" s="55" t="n">
        <f aca="false">SUM(D13:D17)</f>
        <v>5562112.5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4"/>
    <col collapsed="false" customWidth="true" hidden="false" outlineLevel="0" max="4" min="3" style="1" width="13"/>
    <col collapsed="false" customWidth="true" hidden="false" outlineLevel="0" max="6" min="5" style="1" width="10"/>
    <col collapsed="false" customWidth="true" hidden="false" outlineLevel="0" max="7" min="7" style="1" width="86"/>
  </cols>
  <sheetData>
    <row r="1" customFormat="false" ht="15.75" hidden="false" customHeight="true" outlineLevel="0" collapsed="false">
      <c r="A1" s="90" t="s">
        <v>677</v>
      </c>
    </row>
    <row r="2" customFormat="false" ht="43.5" hidden="false" customHeight="true" outlineLevel="0" collapsed="false">
      <c r="A2" s="43" t="s">
        <v>678</v>
      </c>
    </row>
    <row r="4" customFormat="false" ht="15" hidden="false" customHeight="true" outlineLevel="0" collapsed="false">
      <c r="A4" s="91" t="s">
        <v>352</v>
      </c>
      <c r="B4" s="91" t="s">
        <v>289</v>
      </c>
      <c r="C4" s="91" t="s">
        <v>679</v>
      </c>
      <c r="D4" s="91" t="s">
        <v>680</v>
      </c>
      <c r="E4" s="91" t="s">
        <v>681</v>
      </c>
      <c r="F4" s="91" t="s">
        <v>185</v>
      </c>
      <c r="G4" s="91" t="s">
        <v>682</v>
      </c>
    </row>
    <row r="5" customFormat="false" ht="15" hidden="false" customHeight="true" outlineLevel="0" collapsed="false">
      <c r="A5" s="92" t="n">
        <v>2027</v>
      </c>
      <c r="B5" s="92" t="s">
        <v>683</v>
      </c>
      <c r="C5" s="100" t="n">
        <v>2.1</v>
      </c>
      <c r="D5" s="100" t="n">
        <v>1.2</v>
      </c>
      <c r="E5" s="100" t="n">
        <f aca="false">D5-C5</f>
        <v>-0.9</v>
      </c>
      <c r="F5" s="93" t="n">
        <v>0.9</v>
      </c>
      <c r="G5" s="101" t="s">
        <v>684</v>
      </c>
    </row>
    <row r="6" customFormat="false" ht="15" hidden="false" customHeight="true" outlineLevel="0" collapsed="false">
      <c r="A6" s="92" t="n">
        <v>2027</v>
      </c>
      <c r="B6" s="92" t="s">
        <v>685</v>
      </c>
      <c r="C6" s="100" t="n">
        <v>1.75</v>
      </c>
      <c r="D6" s="100" t="n">
        <v>0.9</v>
      </c>
      <c r="E6" s="100" t="n">
        <f aca="false">D6-C6</f>
        <v>-0.85</v>
      </c>
      <c r="F6" s="93" t="n">
        <v>0.75</v>
      </c>
      <c r="G6" s="101" t="s">
        <v>686</v>
      </c>
    </row>
    <row r="7" customFormat="false" ht="15" hidden="false" customHeight="true" outlineLevel="0" collapsed="false">
      <c r="A7" s="92" t="n">
        <v>2027</v>
      </c>
      <c r="B7" s="92" t="s">
        <v>687</v>
      </c>
      <c r="C7" s="93" t="n">
        <v>0.7</v>
      </c>
      <c r="D7" s="93" t="n">
        <v>0.7</v>
      </c>
      <c r="E7" s="93" t="n">
        <f aca="false">D7-C7</f>
        <v>0</v>
      </c>
      <c r="F7" s="93" t="n">
        <v>0.3</v>
      </c>
      <c r="G7" s="101" t="s">
        <v>688</v>
      </c>
    </row>
    <row r="8" customFormat="false" ht="15" hidden="false" customHeight="true" outlineLevel="0" collapsed="false">
      <c r="A8" s="92" t="n">
        <v>2027</v>
      </c>
      <c r="B8" s="92" t="s">
        <v>689</v>
      </c>
      <c r="C8" s="100" t="n">
        <v>1.05</v>
      </c>
      <c r="D8" s="100" t="n">
        <v>0.5</v>
      </c>
      <c r="E8" s="100" t="n">
        <f aca="false">D8-C8</f>
        <v>-0.55</v>
      </c>
      <c r="F8" s="93" t="n">
        <v>0.45</v>
      </c>
      <c r="G8" s="101" t="s">
        <v>690</v>
      </c>
    </row>
    <row r="9" customFormat="false" ht="15" hidden="false" customHeight="true" outlineLevel="0" collapsed="false">
      <c r="A9" s="92" t="n">
        <v>2027</v>
      </c>
      <c r="B9" s="92" t="s">
        <v>691</v>
      </c>
      <c r="C9" s="100" t="n">
        <v>1.05</v>
      </c>
      <c r="D9" s="100" t="n">
        <v>0.7</v>
      </c>
      <c r="E9" s="100" t="n">
        <f aca="false">D9-C9</f>
        <v>-0.35</v>
      </c>
      <c r="F9" s="93" t="n">
        <v>0.45</v>
      </c>
      <c r="G9" s="101" t="s">
        <v>692</v>
      </c>
    </row>
    <row r="10" customFormat="false" ht="15" hidden="false" customHeight="true" outlineLevel="0" collapsed="false">
      <c r="A10" s="92" t="n">
        <v>2027</v>
      </c>
      <c r="B10" s="92" t="s">
        <v>693</v>
      </c>
      <c r="C10" s="93" t="n">
        <v>2.25</v>
      </c>
      <c r="D10" s="93" t="n">
        <v>2.25</v>
      </c>
      <c r="E10" s="93" t="n">
        <f aca="false">D10-C10</f>
        <v>0</v>
      </c>
      <c r="F10" s="93" t="n">
        <v>0.75</v>
      </c>
      <c r="G10" s="101" t="s">
        <v>694</v>
      </c>
    </row>
    <row r="11" customFormat="false" ht="15" hidden="false" customHeight="true" outlineLevel="0" collapsed="false">
      <c r="A11" s="92" t="n">
        <v>2027</v>
      </c>
      <c r="B11" s="92" t="s">
        <v>695</v>
      </c>
      <c r="C11" s="93" t="n">
        <v>2.25</v>
      </c>
      <c r="D11" s="93" t="n">
        <v>2.25</v>
      </c>
      <c r="E11" s="93" t="n">
        <f aca="false">D11-C11</f>
        <v>0</v>
      </c>
      <c r="F11" s="93" t="n">
        <v>0.75</v>
      </c>
      <c r="G11" s="101" t="s">
        <v>696</v>
      </c>
    </row>
    <row r="12" customFormat="false" ht="15" hidden="false" customHeight="true" outlineLevel="0" collapsed="false">
      <c r="A12" s="92" t="n">
        <v>2027</v>
      </c>
      <c r="B12" s="92" t="s">
        <v>697</v>
      </c>
      <c r="C12" s="100" t="n">
        <v>6</v>
      </c>
      <c r="D12" s="100" t="n">
        <v>3.5</v>
      </c>
      <c r="E12" s="100" t="n">
        <f aca="false">D12-C12</f>
        <v>-2.5</v>
      </c>
      <c r="F12" s="93" t="n">
        <v>2</v>
      </c>
      <c r="G12" s="101" t="s">
        <v>698</v>
      </c>
    </row>
    <row r="13" customFormat="false" ht="15" hidden="false" customHeight="true" outlineLevel="0" collapsed="false">
      <c r="A13" s="92" t="n">
        <v>2027</v>
      </c>
      <c r="B13" s="92" t="s">
        <v>699</v>
      </c>
      <c r="C13" s="93" t="n">
        <v>3.75</v>
      </c>
      <c r="D13" s="93" t="n">
        <v>3.75</v>
      </c>
      <c r="E13" s="93" t="n">
        <f aca="false">D13-C13</f>
        <v>0</v>
      </c>
      <c r="F13" s="93" t="n">
        <v>1.25</v>
      </c>
      <c r="G13" s="101" t="s">
        <v>700</v>
      </c>
    </row>
    <row r="14" customFormat="false" ht="15" hidden="false" customHeight="true" outlineLevel="0" collapsed="false">
      <c r="A14" s="92" t="n">
        <v>2027</v>
      </c>
      <c r="B14" s="92" t="s">
        <v>319</v>
      </c>
      <c r="C14" s="93" t="n">
        <v>1.5</v>
      </c>
      <c r="D14" s="93" t="n">
        <v>1.5</v>
      </c>
      <c r="E14" s="93" t="n">
        <f aca="false">D14-C14</f>
        <v>0</v>
      </c>
      <c r="F14" s="93" t="n">
        <v>2.5</v>
      </c>
      <c r="G14" s="101" t="s">
        <v>701</v>
      </c>
    </row>
    <row r="15" customFormat="false" ht="15" hidden="false" customHeight="true" outlineLevel="0" collapsed="false">
      <c r="A15" s="92" t="n">
        <v>2027</v>
      </c>
      <c r="B15" s="92" t="s">
        <v>259</v>
      </c>
      <c r="C15" s="93" t="n">
        <v>2</v>
      </c>
      <c r="D15" s="93" t="n">
        <v>2</v>
      </c>
      <c r="E15" s="93" t="n">
        <f aca="false">D15-C15</f>
        <v>0</v>
      </c>
      <c r="F15" s="93" t="n">
        <v>0.5</v>
      </c>
      <c r="G15" s="101" t="s">
        <v>701</v>
      </c>
    </row>
    <row r="16" customFormat="false" ht="15" hidden="false" customHeight="true" outlineLevel="0" collapsed="false">
      <c r="A16" s="92" t="n">
        <v>2027</v>
      </c>
      <c r="B16" s="92" t="s">
        <v>322</v>
      </c>
      <c r="C16" s="100" t="n">
        <v>1.5</v>
      </c>
      <c r="D16" s="100" t="n">
        <v>0.6</v>
      </c>
      <c r="E16" s="100" t="n">
        <f aca="false">D16-C16</f>
        <v>-0.9</v>
      </c>
      <c r="F16" s="93" t="n">
        <v>0.5</v>
      </c>
      <c r="G16" s="101" t="s">
        <v>702</v>
      </c>
    </row>
    <row r="17" customFormat="false" ht="15" hidden="false" customHeight="true" outlineLevel="0" collapsed="false">
      <c r="A17" s="92" t="n">
        <v>2027</v>
      </c>
      <c r="B17" s="92" t="s">
        <v>324</v>
      </c>
      <c r="C17" s="100" t="n">
        <v>0.5</v>
      </c>
      <c r="D17" s="100" t="n">
        <v>0.3</v>
      </c>
      <c r="E17" s="100" t="n">
        <f aca="false">D17-C17</f>
        <v>-0.2</v>
      </c>
      <c r="F17" s="93" t="n">
        <v>1.5</v>
      </c>
      <c r="G17" s="101" t="s">
        <v>703</v>
      </c>
    </row>
    <row r="18" customFormat="false" ht="15" hidden="false" customHeight="true" outlineLevel="0" collapsed="false">
      <c r="A18" s="92" t="n">
        <v>2027</v>
      </c>
      <c r="B18" s="92" t="s">
        <v>326</v>
      </c>
      <c r="C18" s="93" t="n">
        <v>0.25</v>
      </c>
      <c r="D18" s="93" t="n">
        <v>0.25</v>
      </c>
      <c r="E18" s="93" t="n">
        <f aca="false">D18-C18</f>
        <v>0</v>
      </c>
      <c r="F18" s="93" t="n">
        <v>0.75</v>
      </c>
      <c r="G18" s="101" t="s">
        <v>701</v>
      </c>
    </row>
    <row r="19" customFormat="false" ht="15" hidden="false" customHeight="true" outlineLevel="0" collapsed="false">
      <c r="A19" s="92" t="n">
        <v>2027</v>
      </c>
      <c r="B19" s="92" t="s">
        <v>704</v>
      </c>
      <c r="C19" s="93" t="n">
        <v>2.1</v>
      </c>
      <c r="D19" s="93" t="n">
        <v>2.1</v>
      </c>
      <c r="E19" s="93" t="n">
        <f aca="false">D19-C19</f>
        <v>0</v>
      </c>
      <c r="F19" s="93" t="n">
        <v>0.9</v>
      </c>
      <c r="G19" s="101" t="s">
        <v>705</v>
      </c>
    </row>
    <row r="20" customFormat="false" ht="15" hidden="false" customHeight="true" outlineLevel="0" collapsed="false">
      <c r="A20" s="92" t="n">
        <v>2027</v>
      </c>
      <c r="B20" s="92" t="s">
        <v>706</v>
      </c>
      <c r="C20" s="93" t="n">
        <v>0.6</v>
      </c>
      <c r="D20" s="93" t="n">
        <v>0.6</v>
      </c>
      <c r="E20" s="93" t="n">
        <f aca="false">D20-C20</f>
        <v>0</v>
      </c>
      <c r="F20" s="93" t="n">
        <v>0.9</v>
      </c>
      <c r="G20" s="101" t="s">
        <v>701</v>
      </c>
    </row>
    <row r="21" customFormat="false" ht="15" hidden="false" customHeight="true" outlineLevel="0" collapsed="false">
      <c r="A21" s="92" t="n">
        <v>2027</v>
      </c>
      <c r="B21" s="92" t="s">
        <v>707</v>
      </c>
      <c r="C21" s="100" t="n">
        <v>2</v>
      </c>
      <c r="D21" s="100" t="n">
        <v>0.75</v>
      </c>
      <c r="E21" s="100" t="n">
        <f aca="false">D21-C21</f>
        <v>-1.25</v>
      </c>
      <c r="F21" s="93" t="n">
        <v>0</v>
      </c>
      <c r="G21" s="101" t="s">
        <v>708</v>
      </c>
    </row>
    <row r="22" customFormat="false" ht="15" hidden="false" customHeight="true" outlineLevel="0" collapsed="false">
      <c r="A22" s="92" t="n">
        <v>2027</v>
      </c>
      <c r="B22" s="92" t="s">
        <v>709</v>
      </c>
      <c r="C22" s="93" t="n">
        <v>0</v>
      </c>
      <c r="D22" s="93" t="n">
        <v>0</v>
      </c>
      <c r="E22" s="93" t="n">
        <f aca="false">D22-C22</f>
        <v>0</v>
      </c>
      <c r="F22" s="93" t="n">
        <v>2</v>
      </c>
      <c r="G22" s="101" t="s">
        <v>710</v>
      </c>
    </row>
    <row r="23" customFormat="false" ht="15" hidden="false" customHeight="true" outlineLevel="0" collapsed="false">
      <c r="A23" s="92" t="n">
        <v>2027</v>
      </c>
      <c r="B23" s="92" t="s">
        <v>711</v>
      </c>
      <c r="C23" s="93" t="n">
        <v>0</v>
      </c>
      <c r="D23" s="93" t="n">
        <v>0</v>
      </c>
      <c r="E23" s="93" t="n">
        <f aca="false">D23-C23</f>
        <v>0</v>
      </c>
      <c r="F23" s="93" t="n">
        <v>10</v>
      </c>
      <c r="G23" s="101" t="s">
        <v>710</v>
      </c>
    </row>
    <row r="24" customFormat="false" ht="15" hidden="false" customHeight="true" outlineLevel="0" collapsed="false">
      <c r="A24" s="92" t="n">
        <v>2027</v>
      </c>
      <c r="B24" s="92" t="s">
        <v>712</v>
      </c>
      <c r="C24" s="93" t="n">
        <v>0</v>
      </c>
      <c r="D24" s="93" t="n">
        <v>0</v>
      </c>
      <c r="E24" s="93" t="n">
        <f aca="false">D24-C24</f>
        <v>0</v>
      </c>
      <c r="F24" s="93" t="n">
        <v>8</v>
      </c>
      <c r="G24" s="101" t="s">
        <v>710</v>
      </c>
    </row>
    <row r="25" customFormat="false" ht="15" hidden="false" customHeight="true" outlineLevel="0" collapsed="false">
      <c r="A25" s="92" t="n">
        <v>2027</v>
      </c>
      <c r="B25" s="92" t="s">
        <v>347</v>
      </c>
      <c r="C25" s="93" t="n">
        <v>0</v>
      </c>
      <c r="D25" s="93" t="n">
        <v>0</v>
      </c>
      <c r="E25" s="93" t="n">
        <f aca="false">D25-C25</f>
        <v>0</v>
      </c>
      <c r="F25" s="93" t="n">
        <v>5</v>
      </c>
      <c r="G25" s="101" t="s">
        <v>710</v>
      </c>
    </row>
    <row r="26" customFormat="false" ht="15" hidden="false" customHeight="true" outlineLevel="0" collapsed="false">
      <c r="A26" s="92" t="n">
        <v>2028</v>
      </c>
      <c r="B26" s="92" t="s">
        <v>713</v>
      </c>
      <c r="C26" s="100" t="n">
        <v>6</v>
      </c>
      <c r="D26" s="100" t="n">
        <v>4.5</v>
      </c>
      <c r="E26" s="100" t="n">
        <f aca="false">D26-C26</f>
        <v>-1.5</v>
      </c>
      <c r="F26" s="93" t="n">
        <v>4</v>
      </c>
      <c r="G26" s="101" t="s">
        <v>714</v>
      </c>
    </row>
    <row r="27" customFormat="false" ht="15" hidden="false" customHeight="true" outlineLevel="0" collapsed="false">
      <c r="A27" s="92" t="n">
        <v>2028</v>
      </c>
      <c r="B27" s="92" t="s">
        <v>715</v>
      </c>
      <c r="C27" s="93" t="n">
        <v>4</v>
      </c>
      <c r="D27" s="93" t="n">
        <v>4</v>
      </c>
      <c r="E27" s="93" t="n">
        <f aca="false">D27-C27</f>
        <v>0</v>
      </c>
      <c r="F27" s="93" t="n">
        <v>2</v>
      </c>
      <c r="G27" s="101" t="s">
        <v>716</v>
      </c>
    </row>
    <row r="28" customFormat="false" ht="15" hidden="false" customHeight="true" outlineLevel="0" collapsed="false">
      <c r="A28" s="92" t="n">
        <v>2028</v>
      </c>
      <c r="B28" s="92" t="s">
        <v>622</v>
      </c>
      <c r="C28" s="100" t="n">
        <v>3</v>
      </c>
      <c r="D28" s="100" t="n">
        <v>2</v>
      </c>
      <c r="E28" s="100" t="n">
        <f aca="false">D28-C28</f>
        <v>-1</v>
      </c>
      <c r="F28" s="93" t="n">
        <v>1</v>
      </c>
      <c r="G28" s="101" t="s">
        <v>717</v>
      </c>
    </row>
    <row r="29" customFormat="false" ht="15" hidden="false" customHeight="true" outlineLevel="0" collapsed="false">
      <c r="A29" s="92" t="n">
        <v>2028</v>
      </c>
      <c r="B29" s="92" t="s">
        <v>718</v>
      </c>
      <c r="C29" s="100" t="n">
        <v>5</v>
      </c>
      <c r="D29" s="100" t="n">
        <v>4</v>
      </c>
      <c r="E29" s="100" t="n">
        <f aca="false">D29-C29</f>
        <v>-1</v>
      </c>
      <c r="F29" s="93" t="n">
        <v>5</v>
      </c>
      <c r="G29" s="101" t="s">
        <v>719</v>
      </c>
    </row>
    <row r="30" customFormat="false" ht="15" hidden="false" customHeight="true" outlineLevel="0" collapsed="false">
      <c r="A30" s="92" t="n">
        <v>2028</v>
      </c>
      <c r="B30" s="92" t="s">
        <v>623</v>
      </c>
      <c r="C30" s="100" t="n">
        <v>3</v>
      </c>
      <c r="D30" s="100" t="n">
        <v>2.5</v>
      </c>
      <c r="E30" s="100" t="n">
        <f aca="false">D30-C30</f>
        <v>-0.5</v>
      </c>
      <c r="F30" s="93" t="n">
        <v>3</v>
      </c>
      <c r="G30" s="101" t="s">
        <v>720</v>
      </c>
    </row>
    <row r="31" customFormat="false" ht="15" hidden="false" customHeight="true" outlineLevel="0" collapsed="false">
      <c r="A31" s="92" t="n">
        <v>2028</v>
      </c>
      <c r="B31" s="92" t="s">
        <v>721</v>
      </c>
      <c r="C31" s="100" t="n">
        <v>2</v>
      </c>
      <c r="D31" s="100" t="n">
        <v>1</v>
      </c>
      <c r="E31" s="100" t="n">
        <f aca="false">D31-C31</f>
        <v>-1</v>
      </c>
      <c r="F31" s="93" t="n">
        <v>0</v>
      </c>
      <c r="G31" s="101" t="s">
        <v>722</v>
      </c>
    </row>
    <row r="32" customFormat="false" ht="15" hidden="false" customHeight="true" outlineLevel="0" collapsed="false">
      <c r="A32" s="92" t="n">
        <v>2028</v>
      </c>
      <c r="B32" s="92" t="s">
        <v>625</v>
      </c>
      <c r="C32" s="93" t="n">
        <v>0</v>
      </c>
      <c r="D32" s="93" t="n">
        <v>0</v>
      </c>
      <c r="E32" s="93" t="n">
        <f aca="false">D32-C32</f>
        <v>0</v>
      </c>
      <c r="F32" s="93" t="n">
        <v>4</v>
      </c>
      <c r="G32" s="101" t="s">
        <v>710</v>
      </c>
    </row>
    <row r="33" customFormat="false" ht="15" hidden="false" customHeight="true" outlineLevel="0" collapsed="false">
      <c r="A33" s="92" t="n">
        <v>2028</v>
      </c>
      <c r="B33" s="92" t="s">
        <v>626</v>
      </c>
      <c r="C33" s="93" t="n">
        <v>0</v>
      </c>
      <c r="D33" s="93" t="n">
        <v>0</v>
      </c>
      <c r="E33" s="93" t="n">
        <f aca="false">D33-C33</f>
        <v>0</v>
      </c>
      <c r="F33" s="93" t="n">
        <v>6</v>
      </c>
      <c r="G33" s="101" t="s">
        <v>710</v>
      </c>
    </row>
    <row r="34" customFormat="false" ht="15" hidden="false" customHeight="true" outlineLevel="0" collapsed="false">
      <c r="A34" s="92" t="n">
        <v>2028</v>
      </c>
      <c r="B34" s="92" t="s">
        <v>627</v>
      </c>
      <c r="C34" s="93" t="n">
        <v>0</v>
      </c>
      <c r="D34" s="93" t="n">
        <v>0</v>
      </c>
      <c r="E34" s="93" t="n">
        <f aca="false">D34-C34</f>
        <v>0</v>
      </c>
      <c r="F34" s="93" t="n">
        <v>2</v>
      </c>
      <c r="G34" s="101" t="s">
        <v>710</v>
      </c>
    </row>
    <row r="35" customFormat="false" ht="15" hidden="false" customHeight="true" outlineLevel="0" collapsed="false">
      <c r="A35" s="92" t="n">
        <v>2028</v>
      </c>
      <c r="B35" s="92" t="s">
        <v>723</v>
      </c>
      <c r="C35" s="93" t="n">
        <v>0</v>
      </c>
      <c r="D35" s="93" t="n">
        <v>0</v>
      </c>
      <c r="E35" s="93" t="n">
        <f aca="false">D35-C35</f>
        <v>0</v>
      </c>
      <c r="F35" s="93" t="n">
        <v>2</v>
      </c>
      <c r="G35" s="101" t="s">
        <v>710</v>
      </c>
    </row>
    <row r="36" customFormat="false" ht="15" hidden="false" customHeight="true" outlineLevel="0" collapsed="false">
      <c r="A36" s="92" t="n">
        <v>2028</v>
      </c>
      <c r="B36" s="92" t="s">
        <v>629</v>
      </c>
      <c r="C36" s="93" t="n">
        <v>0</v>
      </c>
      <c r="D36" s="93" t="n">
        <v>0</v>
      </c>
      <c r="E36" s="93" t="n">
        <f aca="false">D36-C36</f>
        <v>0</v>
      </c>
      <c r="F36" s="93" t="n">
        <v>6</v>
      </c>
      <c r="G36" s="101" t="s">
        <v>710</v>
      </c>
    </row>
    <row r="37" customFormat="false" ht="15" hidden="false" customHeight="true" outlineLevel="0" collapsed="false">
      <c r="A37" s="92" t="n">
        <v>2028</v>
      </c>
      <c r="B37" s="92" t="s">
        <v>630</v>
      </c>
      <c r="C37" s="93" t="n">
        <v>0</v>
      </c>
      <c r="D37" s="93" t="n">
        <v>0</v>
      </c>
      <c r="E37" s="93" t="n">
        <f aca="false">D37-C37</f>
        <v>0</v>
      </c>
      <c r="F37" s="93" t="n">
        <v>5</v>
      </c>
      <c r="G37" s="101" t="s">
        <v>710</v>
      </c>
    </row>
    <row r="38" customFormat="false" ht="15" hidden="false" customHeight="true" outlineLevel="0" collapsed="false">
      <c r="A38" s="92" t="n">
        <v>2028</v>
      </c>
      <c r="B38" s="92" t="s">
        <v>631</v>
      </c>
      <c r="C38" s="93" t="n">
        <v>0</v>
      </c>
      <c r="D38" s="93" t="n">
        <v>0</v>
      </c>
      <c r="E38" s="93" t="n">
        <f aca="false">D38-C38</f>
        <v>0</v>
      </c>
      <c r="F38" s="93" t="n">
        <v>2</v>
      </c>
      <c r="G38" s="101" t="s">
        <v>710</v>
      </c>
    </row>
    <row r="39" customFormat="false" ht="15" hidden="false" customHeight="true" outlineLevel="0" collapsed="false">
      <c r="A39" s="92" t="n">
        <v>2029</v>
      </c>
      <c r="B39" s="92" t="s">
        <v>724</v>
      </c>
      <c r="C39" s="100" t="n">
        <v>10</v>
      </c>
      <c r="D39" s="100" t="n">
        <v>6.5</v>
      </c>
      <c r="E39" s="100" t="n">
        <f aca="false">D39-C39</f>
        <v>-3.5</v>
      </c>
      <c r="F39" s="93" t="n">
        <v>0</v>
      </c>
      <c r="G39" s="101" t="s">
        <v>725</v>
      </c>
    </row>
    <row r="40" customFormat="false" ht="15" hidden="false" customHeight="true" outlineLevel="0" collapsed="false">
      <c r="A40" s="92" t="n">
        <v>2029</v>
      </c>
      <c r="B40" s="92" t="s">
        <v>726</v>
      </c>
      <c r="C40" s="100" t="n">
        <v>8</v>
      </c>
      <c r="D40" s="100" t="n">
        <v>6.5</v>
      </c>
      <c r="E40" s="100" t="n">
        <f aca="false">D40-C40</f>
        <v>-1.5</v>
      </c>
      <c r="F40" s="93" t="n">
        <v>0</v>
      </c>
      <c r="G40" s="101" t="s">
        <v>727</v>
      </c>
    </row>
    <row r="41" customFormat="false" ht="15" hidden="false" customHeight="true" outlineLevel="0" collapsed="false">
      <c r="A41" s="92" t="n">
        <v>2029</v>
      </c>
      <c r="B41" s="92" t="s">
        <v>728</v>
      </c>
      <c r="C41" s="100" t="n">
        <v>6</v>
      </c>
      <c r="D41" s="100" t="n">
        <v>4</v>
      </c>
      <c r="E41" s="100" t="n">
        <f aca="false">D41-C41</f>
        <v>-2</v>
      </c>
      <c r="F41" s="93" t="n">
        <v>0</v>
      </c>
      <c r="G41" s="101" t="s">
        <v>729</v>
      </c>
    </row>
    <row r="42" customFormat="false" ht="15" hidden="false" customHeight="true" outlineLevel="0" collapsed="false">
      <c r="A42" s="92" t="n">
        <v>2029</v>
      </c>
      <c r="B42" s="92" t="s">
        <v>730</v>
      </c>
      <c r="C42" s="100" t="n">
        <v>5</v>
      </c>
      <c r="D42" s="100" t="n">
        <v>3.5</v>
      </c>
      <c r="E42" s="100" t="n">
        <f aca="false">D42-C42</f>
        <v>-1.5</v>
      </c>
      <c r="F42" s="93" t="n">
        <v>0</v>
      </c>
      <c r="G42" s="101" t="s">
        <v>731</v>
      </c>
    </row>
    <row r="43" customFormat="false" ht="15" hidden="false" customHeight="true" outlineLevel="0" collapsed="false">
      <c r="A43" s="92" t="n">
        <v>2029</v>
      </c>
      <c r="B43" s="92" t="s">
        <v>732</v>
      </c>
      <c r="C43" s="100" t="n">
        <v>6</v>
      </c>
      <c r="D43" s="100" t="n">
        <v>5</v>
      </c>
      <c r="E43" s="100" t="n">
        <f aca="false">D43-C43</f>
        <v>-1</v>
      </c>
      <c r="F43" s="93" t="n">
        <v>0</v>
      </c>
      <c r="G43" s="101" t="s">
        <v>733</v>
      </c>
    </row>
    <row r="44" customFormat="false" ht="15" hidden="false" customHeight="true" outlineLevel="0" collapsed="false">
      <c r="A44" s="92" t="n">
        <v>2029</v>
      </c>
      <c r="B44" s="92" t="s">
        <v>734</v>
      </c>
      <c r="C44" s="100" t="n">
        <v>5</v>
      </c>
      <c r="D44" s="100" t="n">
        <v>3</v>
      </c>
      <c r="E44" s="100" t="n">
        <f aca="false">D44-C44</f>
        <v>-2</v>
      </c>
      <c r="F44" s="93" t="n">
        <v>0</v>
      </c>
      <c r="G44" s="101" t="s">
        <v>735</v>
      </c>
    </row>
    <row r="45" customFormat="false" ht="15" hidden="false" customHeight="true" outlineLevel="0" collapsed="false">
      <c r="A45" s="92" t="n">
        <v>2029</v>
      </c>
      <c r="B45" s="92" t="s">
        <v>736</v>
      </c>
      <c r="C45" s="93" t="n">
        <v>0</v>
      </c>
      <c r="D45" s="93" t="n">
        <v>0</v>
      </c>
      <c r="E45" s="93" t="n">
        <f aca="false">D45-C45</f>
        <v>0</v>
      </c>
      <c r="F45" s="93" t="n">
        <v>8</v>
      </c>
      <c r="G45" s="101" t="s">
        <v>710</v>
      </c>
    </row>
    <row r="46" customFormat="false" ht="15" hidden="false" customHeight="true" outlineLevel="0" collapsed="false">
      <c r="A46" s="92" t="n">
        <v>2029</v>
      </c>
      <c r="B46" s="92" t="s">
        <v>737</v>
      </c>
      <c r="C46" s="93" t="n">
        <v>0</v>
      </c>
      <c r="D46" s="93" t="n">
        <v>0</v>
      </c>
      <c r="E46" s="93" t="n">
        <f aca="false">D46-C46</f>
        <v>0</v>
      </c>
      <c r="F46" s="93" t="n">
        <v>5</v>
      </c>
      <c r="G46" s="101" t="s">
        <v>710</v>
      </c>
    </row>
    <row r="47" customFormat="false" ht="15" hidden="false" customHeight="true" outlineLevel="0" collapsed="false">
      <c r="A47" s="92" t="n">
        <v>2029</v>
      </c>
      <c r="B47" s="92" t="s">
        <v>643</v>
      </c>
      <c r="C47" s="93" t="n">
        <v>0</v>
      </c>
      <c r="D47" s="93" t="n">
        <v>0</v>
      </c>
      <c r="E47" s="93" t="n">
        <f aca="false">D47-C47</f>
        <v>0</v>
      </c>
      <c r="F47" s="93" t="n">
        <v>3</v>
      </c>
      <c r="G47" s="101" t="s">
        <v>710</v>
      </c>
    </row>
    <row r="48" customFormat="false" ht="15" hidden="false" customHeight="true" outlineLevel="0" collapsed="false">
      <c r="A48" s="92" t="n">
        <v>2029</v>
      </c>
      <c r="B48" s="92" t="s">
        <v>629</v>
      </c>
      <c r="C48" s="93" t="n">
        <v>0</v>
      </c>
      <c r="D48" s="93" t="n">
        <v>0</v>
      </c>
      <c r="E48" s="93" t="n">
        <f aca="false">D48-C48</f>
        <v>0</v>
      </c>
      <c r="F48" s="93" t="n">
        <v>6</v>
      </c>
      <c r="G48" s="101" t="s">
        <v>710</v>
      </c>
    </row>
    <row r="49" customFormat="false" ht="15" hidden="false" customHeight="true" outlineLevel="0" collapsed="false">
      <c r="A49" s="92" t="n">
        <v>2029</v>
      </c>
      <c r="B49" s="92" t="s">
        <v>630</v>
      </c>
      <c r="C49" s="93" t="n">
        <v>0</v>
      </c>
      <c r="D49" s="93" t="n">
        <v>0</v>
      </c>
      <c r="E49" s="93" t="n">
        <f aca="false">D49-C49</f>
        <v>0</v>
      </c>
      <c r="F49" s="93" t="n">
        <v>4</v>
      </c>
      <c r="G49" s="101" t="s">
        <v>710</v>
      </c>
    </row>
    <row r="50" customFormat="false" ht="15" hidden="false" customHeight="true" outlineLevel="0" collapsed="false">
      <c r="A50" s="92" t="n">
        <v>2030</v>
      </c>
      <c r="B50" s="92" t="s">
        <v>738</v>
      </c>
      <c r="C50" s="100" t="n">
        <v>8</v>
      </c>
      <c r="D50" s="100" t="n">
        <v>7</v>
      </c>
      <c r="E50" s="100" t="n">
        <f aca="false">D50-C50</f>
        <v>-1</v>
      </c>
      <c r="F50" s="93" t="n">
        <v>0</v>
      </c>
      <c r="G50" s="101" t="s">
        <v>739</v>
      </c>
    </row>
    <row r="51" customFormat="false" ht="15" hidden="false" customHeight="true" outlineLevel="0" collapsed="false">
      <c r="A51" s="92" t="n">
        <v>2030</v>
      </c>
      <c r="B51" s="92" t="s">
        <v>740</v>
      </c>
      <c r="C51" s="100" t="n">
        <v>9</v>
      </c>
      <c r="D51" s="100" t="n">
        <v>6.5</v>
      </c>
      <c r="E51" s="100" t="n">
        <f aca="false">D51-C51</f>
        <v>-2.5</v>
      </c>
      <c r="F51" s="93" t="n">
        <v>0</v>
      </c>
      <c r="G51" s="101" t="s">
        <v>741</v>
      </c>
    </row>
    <row r="52" customFormat="false" ht="15" hidden="false" customHeight="true" outlineLevel="0" collapsed="false">
      <c r="A52" s="92" t="n">
        <v>2030</v>
      </c>
      <c r="B52" s="92" t="s">
        <v>742</v>
      </c>
      <c r="C52" s="100" t="n">
        <v>6</v>
      </c>
      <c r="D52" s="100" t="n">
        <v>4.5</v>
      </c>
      <c r="E52" s="100" t="n">
        <f aca="false">D52-C52</f>
        <v>-1.5</v>
      </c>
      <c r="F52" s="93" t="n">
        <v>0</v>
      </c>
      <c r="G52" s="101" t="s">
        <v>743</v>
      </c>
    </row>
    <row r="53" customFormat="false" ht="15" hidden="false" customHeight="true" outlineLevel="0" collapsed="false">
      <c r="A53" s="92" t="n">
        <v>2030</v>
      </c>
      <c r="B53" s="92" t="s">
        <v>744</v>
      </c>
      <c r="C53" s="93" t="n">
        <v>4</v>
      </c>
      <c r="D53" s="93" t="n">
        <v>4</v>
      </c>
      <c r="E53" s="93" t="n">
        <f aca="false">D53-C53</f>
        <v>0</v>
      </c>
      <c r="F53" s="93" t="n">
        <v>0</v>
      </c>
      <c r="G53" s="101" t="s">
        <v>745</v>
      </c>
    </row>
    <row r="54" customFormat="false" ht="15" hidden="false" customHeight="true" outlineLevel="0" collapsed="false">
      <c r="A54" s="92" t="n">
        <v>2030</v>
      </c>
      <c r="B54" s="92" t="s">
        <v>746</v>
      </c>
      <c r="C54" s="93" t="n">
        <v>0</v>
      </c>
      <c r="D54" s="93" t="n">
        <v>0</v>
      </c>
      <c r="E54" s="93" t="n">
        <f aca="false">D54-C54</f>
        <v>0</v>
      </c>
      <c r="F54" s="93" t="n">
        <v>8</v>
      </c>
      <c r="G54" s="101" t="s">
        <v>710</v>
      </c>
    </row>
    <row r="55" customFormat="false" ht="15" hidden="false" customHeight="true" outlineLevel="0" collapsed="false">
      <c r="A55" s="92" t="n">
        <v>2030</v>
      </c>
      <c r="B55" s="92" t="s">
        <v>651</v>
      </c>
      <c r="C55" s="93" t="n">
        <v>0</v>
      </c>
      <c r="D55" s="93" t="n">
        <v>0</v>
      </c>
      <c r="E55" s="93" t="n">
        <f aca="false">D55-C55</f>
        <v>0</v>
      </c>
      <c r="F55" s="93" t="n">
        <v>6</v>
      </c>
      <c r="G55" s="101" t="s">
        <v>710</v>
      </c>
    </row>
    <row r="56" customFormat="false" ht="15" hidden="false" customHeight="true" outlineLevel="0" collapsed="false">
      <c r="A56" s="92" t="n">
        <v>2030</v>
      </c>
      <c r="B56" s="92" t="s">
        <v>652</v>
      </c>
      <c r="C56" s="93" t="n">
        <v>0</v>
      </c>
      <c r="D56" s="93" t="n">
        <v>0</v>
      </c>
      <c r="E56" s="93" t="n">
        <f aca="false">D56-C56</f>
        <v>0</v>
      </c>
      <c r="F56" s="93" t="n">
        <v>4</v>
      </c>
      <c r="G56" s="101" t="s">
        <v>710</v>
      </c>
    </row>
    <row r="57" customFormat="false" ht="15" hidden="false" customHeight="true" outlineLevel="0" collapsed="false">
      <c r="A57" s="92" t="n">
        <v>2030</v>
      </c>
      <c r="B57" s="92" t="s">
        <v>629</v>
      </c>
      <c r="C57" s="93" t="n">
        <v>0</v>
      </c>
      <c r="D57" s="93" t="n">
        <v>0</v>
      </c>
      <c r="E57" s="93" t="n">
        <f aca="false">D57-C57</f>
        <v>0</v>
      </c>
      <c r="F57" s="93" t="n">
        <v>7</v>
      </c>
      <c r="G57" s="101" t="s">
        <v>710</v>
      </c>
    </row>
    <row r="58" customFormat="false" ht="15" hidden="false" customHeight="true" outlineLevel="0" collapsed="false">
      <c r="A58" s="92" t="n">
        <v>2030</v>
      </c>
      <c r="B58" s="92" t="s">
        <v>630</v>
      </c>
      <c r="C58" s="93" t="n">
        <v>0</v>
      </c>
      <c r="D58" s="93" t="n">
        <v>0</v>
      </c>
      <c r="E58" s="93" t="n">
        <f aca="false">D58-C58</f>
        <v>0</v>
      </c>
      <c r="F58" s="93" t="n">
        <v>4</v>
      </c>
      <c r="G58" s="101" t="s">
        <v>710</v>
      </c>
    </row>
    <row r="59" customFormat="false" ht="15" hidden="false" customHeight="true" outlineLevel="0" collapsed="false">
      <c r="A59" s="92" t="n">
        <v>2030</v>
      </c>
      <c r="B59" s="92" t="s">
        <v>653</v>
      </c>
      <c r="C59" s="93" t="n">
        <v>0</v>
      </c>
      <c r="D59" s="93" t="n">
        <v>0</v>
      </c>
      <c r="E59" s="93" t="n">
        <f aca="false">D59-C59</f>
        <v>0</v>
      </c>
      <c r="F59" s="93" t="n">
        <v>4</v>
      </c>
      <c r="G59" s="101" t="s">
        <v>710</v>
      </c>
    </row>
    <row r="60" customFormat="false" ht="15" hidden="false" customHeight="true" outlineLevel="0" collapsed="false">
      <c r="A60" s="92" t="n">
        <v>2031</v>
      </c>
      <c r="B60" s="92" t="s">
        <v>747</v>
      </c>
      <c r="C60" s="93" t="n">
        <v>9</v>
      </c>
      <c r="D60" s="93" t="n">
        <v>9</v>
      </c>
      <c r="E60" s="93" t="n">
        <f aca="false">D60-C60</f>
        <v>0</v>
      </c>
      <c r="F60" s="93" t="n">
        <v>0</v>
      </c>
      <c r="G60" s="101" t="s">
        <v>748</v>
      </c>
    </row>
    <row r="61" customFormat="false" ht="15" hidden="false" customHeight="true" outlineLevel="0" collapsed="false">
      <c r="A61" s="92" t="n">
        <v>2031</v>
      </c>
      <c r="B61" s="92" t="s">
        <v>749</v>
      </c>
      <c r="C61" s="100" t="n">
        <v>6</v>
      </c>
      <c r="D61" s="100" t="n">
        <v>5</v>
      </c>
      <c r="E61" s="100" t="n">
        <f aca="false">D61-C61</f>
        <v>-1</v>
      </c>
      <c r="F61" s="93" t="n">
        <v>0</v>
      </c>
      <c r="G61" s="101" t="s">
        <v>750</v>
      </c>
    </row>
    <row r="62" customFormat="false" ht="15" hidden="false" customHeight="true" outlineLevel="0" collapsed="false">
      <c r="A62" s="92" t="n">
        <v>2031</v>
      </c>
      <c r="B62" s="92" t="s">
        <v>751</v>
      </c>
      <c r="C62" s="100" t="n">
        <v>7</v>
      </c>
      <c r="D62" s="100" t="n">
        <v>5</v>
      </c>
      <c r="E62" s="100" t="n">
        <f aca="false">D62-C62</f>
        <v>-2</v>
      </c>
      <c r="F62" s="93" t="n">
        <v>0</v>
      </c>
      <c r="G62" s="101" t="s">
        <v>752</v>
      </c>
    </row>
    <row r="63" customFormat="false" ht="15" hidden="false" customHeight="true" outlineLevel="0" collapsed="false">
      <c r="A63" s="92" t="n">
        <v>2031</v>
      </c>
      <c r="B63" s="92" t="s">
        <v>753</v>
      </c>
      <c r="C63" s="93" t="n">
        <v>5</v>
      </c>
      <c r="D63" s="93" t="n">
        <v>5</v>
      </c>
      <c r="E63" s="93" t="n">
        <f aca="false">D63-C63</f>
        <v>0</v>
      </c>
      <c r="F63" s="93" t="n">
        <v>0</v>
      </c>
      <c r="G63" s="101" t="s">
        <v>701</v>
      </c>
    </row>
    <row r="64" customFormat="false" ht="15" hidden="false" customHeight="true" outlineLevel="0" collapsed="false">
      <c r="A64" s="92" t="n">
        <v>2031</v>
      </c>
      <c r="B64" s="92" t="s">
        <v>660</v>
      </c>
      <c r="C64" s="93" t="n">
        <v>3</v>
      </c>
      <c r="D64" s="93" t="n">
        <v>3</v>
      </c>
      <c r="E64" s="93" t="n">
        <f aca="false">D64-C64</f>
        <v>0</v>
      </c>
      <c r="F64" s="93" t="n">
        <v>0</v>
      </c>
      <c r="G64" s="101" t="s">
        <v>754</v>
      </c>
    </row>
    <row r="65" customFormat="false" ht="15" hidden="false" customHeight="true" outlineLevel="0" collapsed="false">
      <c r="A65" s="92" t="n">
        <v>2031</v>
      </c>
      <c r="B65" s="92" t="s">
        <v>661</v>
      </c>
      <c r="C65" s="93" t="n">
        <v>0</v>
      </c>
      <c r="D65" s="93" t="n">
        <v>0</v>
      </c>
      <c r="E65" s="93" t="n">
        <f aca="false">D65-C65</f>
        <v>0</v>
      </c>
      <c r="F65" s="93" t="n">
        <v>5</v>
      </c>
      <c r="G65" s="101" t="s">
        <v>710</v>
      </c>
    </row>
    <row r="66" customFormat="false" ht="15" hidden="false" customHeight="true" outlineLevel="0" collapsed="false">
      <c r="A66" s="92" t="n">
        <v>2031</v>
      </c>
      <c r="B66" s="92" t="s">
        <v>662</v>
      </c>
      <c r="C66" s="93" t="n">
        <v>0</v>
      </c>
      <c r="D66" s="93" t="n">
        <v>0</v>
      </c>
      <c r="E66" s="93" t="n">
        <f aca="false">D66-C66</f>
        <v>0</v>
      </c>
      <c r="F66" s="93" t="n">
        <v>4</v>
      </c>
      <c r="G66" s="101" t="s">
        <v>710</v>
      </c>
    </row>
    <row r="67" customFormat="false" ht="15" hidden="false" customHeight="true" outlineLevel="0" collapsed="false">
      <c r="A67" s="92" t="n">
        <v>2031</v>
      </c>
      <c r="B67" s="92" t="s">
        <v>663</v>
      </c>
      <c r="C67" s="93" t="n">
        <v>0</v>
      </c>
      <c r="D67" s="93" t="n">
        <v>0</v>
      </c>
      <c r="E67" s="93" t="n">
        <f aca="false">D67-C67</f>
        <v>0</v>
      </c>
      <c r="F67" s="93" t="n">
        <v>4</v>
      </c>
      <c r="G67" s="101" t="s">
        <v>710</v>
      </c>
    </row>
    <row r="68" customFormat="false" ht="15" hidden="false" customHeight="true" outlineLevel="0" collapsed="false">
      <c r="A68" s="92" t="n">
        <v>2031</v>
      </c>
      <c r="B68" s="92" t="s">
        <v>629</v>
      </c>
      <c r="C68" s="93" t="n">
        <v>0</v>
      </c>
      <c r="D68" s="93" t="n">
        <v>0</v>
      </c>
      <c r="E68" s="93" t="n">
        <f aca="false">D68-C68</f>
        <v>0</v>
      </c>
      <c r="F68" s="93" t="n">
        <v>8</v>
      </c>
      <c r="G68" s="101" t="s">
        <v>710</v>
      </c>
    </row>
    <row r="69" customFormat="false" ht="15" hidden="false" customHeight="true" outlineLevel="0" collapsed="false">
      <c r="A69" s="92" t="n">
        <v>2031</v>
      </c>
      <c r="B69" s="92" t="s">
        <v>630</v>
      </c>
      <c r="C69" s="93" t="n">
        <v>0</v>
      </c>
      <c r="D69" s="93" t="n">
        <v>0</v>
      </c>
      <c r="E69" s="93" t="n">
        <f aca="false">D69-C69</f>
        <v>0</v>
      </c>
      <c r="F69" s="93" t="n">
        <v>4</v>
      </c>
      <c r="G69" s="101" t="s">
        <v>710</v>
      </c>
    </row>
    <row r="70" customFormat="false" ht="15" hidden="false" customHeight="true" outlineLevel="0" collapsed="false">
      <c r="A70" s="92" t="n">
        <v>2031</v>
      </c>
      <c r="B70" s="92" t="s">
        <v>653</v>
      </c>
      <c r="C70" s="93" t="n">
        <v>0</v>
      </c>
      <c r="D70" s="93" t="n">
        <v>0</v>
      </c>
      <c r="E70" s="93" t="n">
        <f aca="false">D70-C70</f>
        <v>0</v>
      </c>
      <c r="F70" s="93" t="n">
        <v>3</v>
      </c>
      <c r="G70" s="101" t="s">
        <v>710</v>
      </c>
    </row>
    <row r="71" customFormat="false" ht="15" hidden="false" customHeight="true" outlineLevel="0" collapsed="false">
      <c r="B71" s="13" t="s">
        <v>355</v>
      </c>
      <c r="C71" s="95" t="n">
        <f aca="false">SUM(C5:C70)</f>
        <v>151.35</v>
      </c>
      <c r="D71" s="95" t="n">
        <f aca="false">SUM(D5:D70)</f>
        <v>119.35</v>
      </c>
      <c r="E71" s="95" t="n">
        <f aca="false">SUM(E5:E70)</f>
        <v>-32</v>
      </c>
      <c r="F71" s="95" t="n">
        <f aca="false">SUM(F5:F70)</f>
        <v>169.15</v>
      </c>
    </row>
    <row r="73" customFormat="false" ht="15" hidden="false" customHeight="true" outlineLevel="0" collapsed="false">
      <c r="B73" s="13" t="s">
        <v>755</v>
      </c>
      <c r="D73" s="54" t="n">
        <f aca="false">C71*Assumptions!$B$10</f>
        <v>5562112.5</v>
      </c>
    </row>
    <row r="74" customFormat="false" ht="15" hidden="false" customHeight="true" outlineLevel="0" collapsed="false">
      <c r="B74" s="13" t="s">
        <v>756</v>
      </c>
      <c r="D74" s="54" t="n">
        <f aca="false">D71*Assumptions!$B$10</f>
        <v>4386112.5</v>
      </c>
    </row>
    <row r="75" customFormat="false" ht="15" hidden="false" customHeight="true" outlineLevel="0" collapsed="false">
      <c r="B75" s="13" t="s">
        <v>757</v>
      </c>
      <c r="D75" s="102" t="n">
        <f aca="false">D74-D73</f>
        <v>-1176000</v>
      </c>
    </row>
    <row r="76" customFormat="false" ht="15" hidden="false" customHeight="true" outlineLevel="0" collapsed="false">
      <c r="B76" s="13" t="s">
        <v>410</v>
      </c>
      <c r="D76" s="54" t="n">
        <v>9629181</v>
      </c>
      <c r="G76" s="103" t="s">
        <v>758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5" min="2" style="0" width="11"/>
    <col collapsed="false" customWidth="true" hidden="false" outlineLevel="0" max="6" min="6" style="0" width="72"/>
    <col collapsed="false" customWidth="true" hidden="false" outlineLevel="0" max="7" min="7" style="0" width="20"/>
    <col collapsed="false" customWidth="true" hidden="false" outlineLevel="0" max="9" min="8" style="0" width="14"/>
    <col collapsed="false" customWidth="true" hidden="false" outlineLevel="0" max="10" min="10" style="0" width="9"/>
  </cols>
  <sheetData>
    <row r="1" customFormat="false" ht="15" hidden="false" customHeight="false" outlineLevel="0" collapsed="false">
      <c r="A1" s="104" t="s">
        <v>759</v>
      </c>
    </row>
    <row r="2" customFormat="false" ht="30" hidden="false" customHeight="true" outlineLevel="0" collapsed="false">
      <c r="A2" s="43" t="s">
        <v>760</v>
      </c>
    </row>
    <row r="4" customFormat="false" ht="15" hidden="false" customHeight="false" outlineLevel="0" collapsed="false">
      <c r="A4" s="91" t="s">
        <v>761</v>
      </c>
      <c r="B4" s="91" t="s">
        <v>762</v>
      </c>
      <c r="C4" s="91" t="s">
        <v>763</v>
      </c>
      <c r="D4" s="91" t="s">
        <v>764</v>
      </c>
      <c r="E4" s="91" t="s">
        <v>765</v>
      </c>
      <c r="F4" s="91" t="s">
        <v>766</v>
      </c>
    </row>
    <row r="5" customFormat="false" ht="15" hidden="false" customHeight="false" outlineLevel="0" collapsed="false">
      <c r="A5" s="105" t="s">
        <v>767</v>
      </c>
      <c r="B5" s="106" t="n">
        <v>1.2</v>
      </c>
      <c r="C5" s="106" t="n">
        <v>0.6</v>
      </c>
      <c r="D5" s="106" t="n">
        <v>0.9</v>
      </c>
      <c r="E5" s="106" t="n">
        <v>0.6</v>
      </c>
      <c r="F5" s="107" t="s">
        <v>768</v>
      </c>
    </row>
    <row r="6" customFormat="false" ht="15" hidden="false" customHeight="false" outlineLevel="0" collapsed="false">
      <c r="A6" s="105" t="s">
        <v>769</v>
      </c>
      <c r="B6" s="106" t="n">
        <v>0.9</v>
      </c>
      <c r="C6" s="106" t="n">
        <v>1.2</v>
      </c>
      <c r="D6" s="106" t="n">
        <v>0.75</v>
      </c>
      <c r="E6" s="106" t="n">
        <v>1</v>
      </c>
      <c r="F6" s="101" t="s">
        <v>770</v>
      </c>
    </row>
    <row r="7" customFormat="false" ht="15" hidden="false" customHeight="false" outlineLevel="0" collapsed="false">
      <c r="A7" s="105" t="s">
        <v>771</v>
      </c>
      <c r="B7" s="106" t="n">
        <v>0.7</v>
      </c>
      <c r="C7" s="106" t="n">
        <v>0.7</v>
      </c>
      <c r="D7" s="106" t="n">
        <v>0.3</v>
      </c>
      <c r="E7" s="106" t="n">
        <v>0.3</v>
      </c>
      <c r="F7" s="101" t="s">
        <v>772</v>
      </c>
    </row>
    <row r="8" customFormat="false" ht="15" hidden="false" customHeight="false" outlineLevel="0" collapsed="false">
      <c r="A8" s="105" t="s">
        <v>773</v>
      </c>
      <c r="B8" s="106" t="n">
        <v>0.5</v>
      </c>
      <c r="C8" s="106" t="n">
        <v>0.4</v>
      </c>
      <c r="D8" s="106" t="n">
        <v>0.45</v>
      </c>
      <c r="E8" s="106" t="n">
        <v>0.6</v>
      </c>
      <c r="F8" s="101" t="s">
        <v>774</v>
      </c>
    </row>
    <row r="9" customFormat="false" ht="15" hidden="false" customHeight="false" outlineLevel="0" collapsed="false">
      <c r="A9" s="105" t="s">
        <v>775</v>
      </c>
      <c r="B9" s="106" t="n">
        <v>0.7</v>
      </c>
      <c r="C9" s="106" t="n">
        <v>0.9</v>
      </c>
      <c r="D9" s="106" t="n">
        <v>0.45</v>
      </c>
      <c r="E9" s="106" t="n">
        <v>0.6</v>
      </c>
      <c r="F9" s="108" t="s">
        <v>776</v>
      </c>
    </row>
    <row r="10" customFormat="false" ht="15" hidden="false" customHeight="false" outlineLevel="0" collapsed="false">
      <c r="A10" s="105" t="s">
        <v>777</v>
      </c>
      <c r="B10" s="106" t="n">
        <v>2.25</v>
      </c>
      <c r="C10" s="106" t="n">
        <v>2.75</v>
      </c>
      <c r="D10" s="106" t="n">
        <v>0.75</v>
      </c>
      <c r="E10" s="106" t="n">
        <v>0.75</v>
      </c>
      <c r="F10" s="108" t="s">
        <v>778</v>
      </c>
    </row>
    <row r="11" customFormat="false" ht="15" hidden="false" customHeight="false" outlineLevel="0" collapsed="false">
      <c r="A11" s="105" t="s">
        <v>779</v>
      </c>
      <c r="B11" s="106" t="n">
        <v>2.25</v>
      </c>
      <c r="C11" s="106" t="n">
        <v>2.25</v>
      </c>
      <c r="D11" s="106" t="n">
        <v>0.75</v>
      </c>
      <c r="E11" s="106" t="n">
        <v>0.75</v>
      </c>
      <c r="F11" s="101" t="s">
        <v>780</v>
      </c>
    </row>
    <row r="12" customFormat="false" ht="15" hidden="false" customHeight="false" outlineLevel="0" collapsed="false">
      <c r="A12" s="105" t="s">
        <v>781</v>
      </c>
      <c r="B12" s="106" t="n">
        <v>3.5</v>
      </c>
      <c r="C12" s="106" t="n">
        <v>1.5</v>
      </c>
      <c r="D12" s="106" t="n">
        <v>2</v>
      </c>
      <c r="E12" s="106" t="n">
        <v>1.5</v>
      </c>
      <c r="F12" s="107" t="s">
        <v>782</v>
      </c>
    </row>
    <row r="13" customFormat="false" ht="15" hidden="false" customHeight="false" outlineLevel="0" collapsed="false">
      <c r="A13" s="105" t="s">
        <v>783</v>
      </c>
      <c r="B13" s="106" t="n">
        <v>3.75</v>
      </c>
      <c r="C13" s="106" t="n">
        <v>4.5</v>
      </c>
      <c r="D13" s="106" t="n">
        <v>1.25</v>
      </c>
      <c r="E13" s="106" t="n">
        <v>1.5</v>
      </c>
      <c r="F13" s="108" t="s">
        <v>784</v>
      </c>
    </row>
    <row r="14" customFormat="false" ht="15" hidden="false" customHeight="false" outlineLevel="0" collapsed="false">
      <c r="A14" s="105" t="s">
        <v>785</v>
      </c>
      <c r="B14" s="106" t="n">
        <v>1.5</v>
      </c>
      <c r="C14" s="106" t="n">
        <v>0.75</v>
      </c>
      <c r="D14" s="106" t="n">
        <v>2.5</v>
      </c>
      <c r="E14" s="106" t="n">
        <v>1.5</v>
      </c>
      <c r="F14" s="107" t="s">
        <v>786</v>
      </c>
    </row>
    <row r="15" customFormat="false" ht="15" hidden="false" customHeight="false" outlineLevel="0" collapsed="false">
      <c r="A15" s="105" t="s">
        <v>259</v>
      </c>
      <c r="B15" s="106" t="n">
        <v>2</v>
      </c>
      <c r="C15" s="106" t="n">
        <v>2</v>
      </c>
      <c r="D15" s="106" t="n">
        <v>0.5</v>
      </c>
      <c r="E15" s="106" t="n">
        <v>0.5</v>
      </c>
      <c r="F15" s="101" t="s">
        <v>787</v>
      </c>
    </row>
    <row r="16" customFormat="false" ht="15" hidden="false" customHeight="false" outlineLevel="0" collapsed="false">
      <c r="A16" s="105" t="s">
        <v>788</v>
      </c>
      <c r="B16" s="106" t="n">
        <v>0.6</v>
      </c>
      <c r="C16" s="106" t="n">
        <v>0.3</v>
      </c>
      <c r="D16" s="106" t="n">
        <v>0.5</v>
      </c>
      <c r="E16" s="106" t="n">
        <v>0.75</v>
      </c>
      <c r="F16" s="107" t="s">
        <v>789</v>
      </c>
    </row>
    <row r="17" customFormat="false" ht="15" hidden="false" customHeight="false" outlineLevel="0" collapsed="false">
      <c r="A17" s="105" t="s">
        <v>790</v>
      </c>
      <c r="B17" s="106" t="n">
        <v>0.3</v>
      </c>
      <c r="C17" s="106" t="n">
        <v>0.5</v>
      </c>
      <c r="D17" s="106" t="n">
        <v>1.5</v>
      </c>
      <c r="E17" s="106" t="n">
        <v>1.5</v>
      </c>
      <c r="F17" s="107" t="s">
        <v>791</v>
      </c>
    </row>
    <row r="18" customFormat="false" ht="15" hidden="false" customHeight="false" outlineLevel="0" collapsed="false">
      <c r="A18" s="105" t="s">
        <v>326</v>
      </c>
      <c r="B18" s="106" t="n">
        <v>0.25</v>
      </c>
      <c r="C18" s="106" t="n">
        <v>0.1</v>
      </c>
      <c r="D18" s="106" t="n">
        <v>0.75</v>
      </c>
      <c r="E18" s="106" t="n">
        <v>0.5</v>
      </c>
      <c r="F18" s="107" t="s">
        <v>792</v>
      </c>
    </row>
    <row r="19" customFormat="false" ht="15" hidden="false" customHeight="false" outlineLevel="0" collapsed="false">
      <c r="A19" s="105" t="s">
        <v>793</v>
      </c>
      <c r="B19" s="106" t="n">
        <v>2.1</v>
      </c>
      <c r="C19" s="106" t="n">
        <v>1</v>
      </c>
      <c r="D19" s="106" t="n">
        <v>0.9</v>
      </c>
      <c r="E19" s="106" t="n">
        <v>0.6</v>
      </c>
      <c r="F19" s="101" t="s">
        <v>794</v>
      </c>
    </row>
    <row r="20" customFormat="false" ht="15" hidden="false" customHeight="false" outlineLevel="0" collapsed="false">
      <c r="A20" s="105" t="s">
        <v>706</v>
      </c>
      <c r="B20" s="106" t="n">
        <v>0.6</v>
      </c>
      <c r="C20" s="106" t="n">
        <v>0.6</v>
      </c>
      <c r="D20" s="106" t="n">
        <v>0.9</v>
      </c>
      <c r="E20" s="106" t="n">
        <v>0.9</v>
      </c>
      <c r="F20" s="101" t="s">
        <v>96</v>
      </c>
    </row>
    <row r="21" customFormat="false" ht="15" hidden="false" customHeight="false" outlineLevel="0" collapsed="false">
      <c r="A21" s="105" t="s">
        <v>795</v>
      </c>
      <c r="B21" s="106" t="n">
        <v>0.75</v>
      </c>
      <c r="C21" s="106" t="n">
        <v>0.75</v>
      </c>
      <c r="D21" s="106" t="n">
        <v>0</v>
      </c>
      <c r="E21" s="106" t="n">
        <v>0</v>
      </c>
      <c r="F21" s="101" t="s">
        <v>796</v>
      </c>
    </row>
    <row r="22" customFormat="false" ht="15" hidden="false" customHeight="false" outlineLevel="0" collapsed="false">
      <c r="A22" s="105" t="s">
        <v>797</v>
      </c>
      <c r="B22" s="106" t="n">
        <v>0</v>
      </c>
      <c r="C22" s="106" t="n">
        <v>0</v>
      </c>
      <c r="D22" s="106" t="n">
        <v>2</v>
      </c>
      <c r="E22" s="106" t="n">
        <v>2</v>
      </c>
      <c r="F22" s="101" t="s">
        <v>710</v>
      </c>
    </row>
    <row r="23" customFormat="false" ht="15" hidden="false" customHeight="false" outlineLevel="0" collapsed="false">
      <c r="A23" s="105" t="s">
        <v>798</v>
      </c>
      <c r="B23" s="106" t="n">
        <v>0</v>
      </c>
      <c r="C23" s="106" t="n">
        <v>0</v>
      </c>
      <c r="D23" s="106" t="n">
        <v>10</v>
      </c>
      <c r="E23" s="106" t="n">
        <v>13</v>
      </c>
      <c r="F23" s="101" t="s">
        <v>799</v>
      </c>
    </row>
    <row r="24" customFormat="false" ht="15" hidden="false" customHeight="false" outlineLevel="0" collapsed="false">
      <c r="A24" s="105" t="s">
        <v>800</v>
      </c>
      <c r="B24" s="106" t="n">
        <v>0</v>
      </c>
      <c r="C24" s="106" t="n">
        <v>0</v>
      </c>
      <c r="D24" s="106" t="n">
        <v>8</v>
      </c>
      <c r="E24" s="106" t="n">
        <v>10</v>
      </c>
      <c r="F24" s="101" t="s">
        <v>801</v>
      </c>
    </row>
    <row r="25" customFormat="false" ht="15" hidden="false" customHeight="false" outlineLevel="0" collapsed="false">
      <c r="A25" s="105" t="s">
        <v>802</v>
      </c>
      <c r="B25" s="106" t="n">
        <v>0</v>
      </c>
      <c r="C25" s="106" t="n">
        <v>0</v>
      </c>
      <c r="D25" s="106" t="n">
        <v>5</v>
      </c>
      <c r="E25" s="106" t="n">
        <v>5</v>
      </c>
      <c r="F25" s="101" t="s">
        <v>710</v>
      </c>
    </row>
    <row r="26" customFormat="false" ht="15" hidden="false" customHeight="false" outlineLevel="0" collapsed="false">
      <c r="A26" s="109" t="s">
        <v>803</v>
      </c>
      <c r="B26" s="110" t="n">
        <f aca="false">SUM(B5:B25)</f>
        <v>23.85</v>
      </c>
      <c r="C26" s="110" t="n">
        <f aca="false">SUM(C5:C25)</f>
        <v>20.8</v>
      </c>
      <c r="D26" s="110" t="n">
        <f aca="false">SUM(D5:D25)</f>
        <v>40.15</v>
      </c>
      <c r="E26" s="110" t="n">
        <f aca="false">SUM(E5:E25)</f>
        <v>43.85</v>
      </c>
    </row>
    <row r="28" customFormat="false" ht="15" hidden="false" customHeight="false" outlineLevel="0" collapsed="false">
      <c r="A28" s="109" t="s">
        <v>804</v>
      </c>
    </row>
    <row r="29" customFormat="false" ht="15" hidden="false" customHeight="false" outlineLevel="0" collapsed="false">
      <c r="A29" s="91" t="s">
        <v>352</v>
      </c>
      <c r="B29" s="91" t="s">
        <v>762</v>
      </c>
      <c r="C29" s="91" t="s">
        <v>763</v>
      </c>
      <c r="D29" s="91" t="s">
        <v>764</v>
      </c>
      <c r="E29" s="91" t="s">
        <v>765</v>
      </c>
      <c r="F29" s="91" t="s">
        <v>805</v>
      </c>
      <c r="G29" s="91" t="s">
        <v>806</v>
      </c>
      <c r="H29" s="91" t="s">
        <v>681</v>
      </c>
      <c r="I29" s="91" t="s">
        <v>807</v>
      </c>
      <c r="J29" s="91" t="s">
        <v>808</v>
      </c>
    </row>
    <row r="30" customFormat="false" ht="15" hidden="false" customHeight="false" outlineLevel="0" collapsed="false">
      <c r="A30" s="111" t="n">
        <v>2027</v>
      </c>
      <c r="B30" s="106" t="n">
        <v>23.85</v>
      </c>
      <c r="C30" s="106" t="n">
        <v>20.8</v>
      </c>
      <c r="D30" s="106" t="n">
        <v>40.15</v>
      </c>
      <c r="E30" s="106" t="n">
        <v>43.85</v>
      </c>
      <c r="F30" s="112" t="n">
        <v>2228347.22222222</v>
      </c>
      <c r="G30" s="112" t="n">
        <v>2512763.88888889</v>
      </c>
      <c r="H30" s="112" t="n">
        <f aca="false">G30-F30</f>
        <v>284416.666666667</v>
      </c>
      <c r="I30" s="112" t="n">
        <v>3400000</v>
      </c>
      <c r="J30" s="111" t="str">
        <f aca="false">IF(G30&lt;=I30,"yes","NO")</f>
        <v>yes</v>
      </c>
    </row>
    <row r="31" customFormat="false" ht="15" hidden="false" customHeight="false" outlineLevel="0" collapsed="false">
      <c r="A31" s="111" t="n">
        <v>2028</v>
      </c>
      <c r="B31" s="106" t="n">
        <v>18</v>
      </c>
      <c r="C31" s="106" t="n">
        <v>12</v>
      </c>
      <c r="D31" s="106" t="n">
        <v>42</v>
      </c>
      <c r="E31" s="106" t="n">
        <v>45</v>
      </c>
      <c r="F31" s="112" t="n">
        <v>2248333.33333333</v>
      </c>
      <c r="G31" s="112" t="n">
        <v>2504166.66666667</v>
      </c>
      <c r="H31" s="112" t="n">
        <f aca="false">G31-F31</f>
        <v>255833.333333334</v>
      </c>
      <c r="I31" s="112" t="n">
        <v>3400000</v>
      </c>
      <c r="J31" s="111" t="str">
        <f aca="false">IF(G31&lt;=I31,"yes","NO")</f>
        <v>yes</v>
      </c>
    </row>
    <row r="32" customFormat="false" ht="15" hidden="false" customHeight="false" outlineLevel="0" collapsed="false">
      <c r="A32" s="111" t="n">
        <v>2029</v>
      </c>
      <c r="B32" s="106" t="n">
        <v>28.5</v>
      </c>
      <c r="C32" s="106" t="n">
        <v>27</v>
      </c>
      <c r="D32" s="106" t="n">
        <v>26</v>
      </c>
      <c r="E32" s="106" t="n">
        <v>28</v>
      </c>
      <c r="F32" s="112" t="n">
        <v>1595000</v>
      </c>
      <c r="G32" s="112" t="n">
        <v>1810000</v>
      </c>
      <c r="H32" s="112" t="n">
        <f aca="false">G32-F32</f>
        <v>215000</v>
      </c>
      <c r="I32" s="112" t="n">
        <v>3500000</v>
      </c>
      <c r="J32" s="111" t="str">
        <f aca="false">IF(G32&lt;=I32,"yes","NO")</f>
        <v>yes</v>
      </c>
    </row>
    <row r="33" customFormat="false" ht="15" hidden="false" customHeight="false" outlineLevel="0" collapsed="false">
      <c r="A33" s="111" t="n">
        <v>2030</v>
      </c>
      <c r="B33" s="106" t="n">
        <v>22</v>
      </c>
      <c r="C33" s="106" t="n">
        <v>22</v>
      </c>
      <c r="D33" s="106" t="n">
        <v>33</v>
      </c>
      <c r="E33" s="106" t="n">
        <v>35</v>
      </c>
      <c r="F33" s="112" t="n">
        <v>1880833.33333333</v>
      </c>
      <c r="G33" s="112" t="n">
        <v>2095833.33333333</v>
      </c>
      <c r="H33" s="112" t="n">
        <f aca="false">G33-F33</f>
        <v>215000</v>
      </c>
      <c r="I33" s="112" t="n">
        <v>3500000</v>
      </c>
      <c r="J33" s="111" t="str">
        <f aca="false">IF(G33&lt;=I33,"yes","NO")</f>
        <v>yes</v>
      </c>
    </row>
    <row r="34" customFormat="false" ht="15" hidden="false" customHeight="false" outlineLevel="0" collapsed="false">
      <c r="A34" s="111" t="n">
        <v>2031</v>
      </c>
      <c r="B34" s="106" t="n">
        <v>27</v>
      </c>
      <c r="C34" s="106" t="n">
        <v>24</v>
      </c>
      <c r="D34" s="106" t="n">
        <v>28</v>
      </c>
      <c r="E34" s="106" t="n">
        <v>30</v>
      </c>
      <c r="F34" s="112" t="n">
        <v>1676666.66666667</v>
      </c>
      <c r="G34" s="112" t="n">
        <v>1891666.66666667</v>
      </c>
      <c r="H34" s="112" t="n">
        <f aca="false">G34-F34</f>
        <v>215000</v>
      </c>
      <c r="I34" s="112" t="n">
        <v>3500000</v>
      </c>
      <c r="J34" s="111" t="str">
        <f aca="false">IF(G34&lt;=I34,"yes","NO")</f>
        <v>yes</v>
      </c>
    </row>
    <row r="35" customFormat="false" ht="15" hidden="false" customHeight="false" outlineLevel="0" collapsed="false">
      <c r="A35" s="109" t="s">
        <v>355</v>
      </c>
      <c r="B35" s="110" t="n">
        <f aca="false">SUM(B30:B34)</f>
        <v>119.35</v>
      </c>
      <c r="C35" s="110" t="n">
        <f aca="false">SUM(C30:C34)</f>
        <v>105.8</v>
      </c>
      <c r="D35" s="110" t="n">
        <f aca="false">SUM(D30:D34)</f>
        <v>169.15</v>
      </c>
      <c r="E35" s="110" t="n">
        <f aca="false">SUM(E30:E34)</f>
        <v>181.85</v>
      </c>
      <c r="F35" s="113" t="n">
        <f aca="false">SUM(F30:F34)</f>
        <v>9629180.55555556</v>
      </c>
      <c r="G35" s="113" t="n">
        <f aca="false">SUM(G30:G34)</f>
        <v>10814430.5555556</v>
      </c>
      <c r="H35" s="113" t="n">
        <f aca="false">SUM(H30:H34)</f>
        <v>1185250</v>
      </c>
    </row>
    <row r="37" customFormat="false" ht="15" hidden="false" customHeight="false" outlineLevel="0" collapsed="false">
      <c r="A37" s="109" t="s">
        <v>809</v>
      </c>
      <c r="D37" s="114" t="n">
        <f aca="false">B35*Assumptions!$B$10</f>
        <v>4386112.5</v>
      </c>
    </row>
    <row r="38" customFormat="false" ht="15" hidden="false" customHeight="false" outlineLevel="0" collapsed="false">
      <c r="A38" s="109" t="s">
        <v>810</v>
      </c>
      <c r="D38" s="114" t="n">
        <f aca="false">C35*Assumptions!$B$10</f>
        <v>3888150</v>
      </c>
    </row>
    <row r="39" customFormat="false" ht="15" hidden="false" customHeight="false" outlineLevel="0" collapsed="false">
      <c r="A39" s="109" t="s">
        <v>811</v>
      </c>
      <c r="D39" s="115" t="n">
        <f aca="false">D37-D38</f>
        <v>497962.5</v>
      </c>
    </row>
    <row r="40" customFormat="false" ht="15" hidden="false" customHeight="false" outlineLevel="0" collapsed="false">
      <c r="A40" s="109" t="s">
        <v>812</v>
      </c>
      <c r="D40" s="116" t="n">
        <f aca="false">G35-F35</f>
        <v>1185250</v>
      </c>
    </row>
    <row r="42" customFormat="false" ht="15" hidden="false" customHeight="false" outlineLevel="0" collapsed="false">
      <c r="A42" s="109" t="s">
        <v>813</v>
      </c>
    </row>
    <row r="43" customFormat="false" ht="15" hidden="false" customHeight="false" outlineLevel="0" collapsed="false">
      <c r="A43" s="99" t="s">
        <v>814</v>
      </c>
      <c r="B43" s="99" t="s">
        <v>815</v>
      </c>
      <c r="C43" s="99" t="s">
        <v>816</v>
      </c>
      <c r="D43" s="99" t="s">
        <v>817</v>
      </c>
    </row>
    <row r="44" customFormat="false" ht="15" hidden="false" customHeight="false" outlineLevel="0" collapsed="false">
      <c r="A44" s="112" t="n">
        <v>0</v>
      </c>
      <c r="B44" s="112" t="n">
        <v>8314430.55555556</v>
      </c>
      <c r="C44" s="112" t="n">
        <v>-1314750</v>
      </c>
      <c r="D44" s="111" t="s">
        <v>818</v>
      </c>
    </row>
    <row r="45" customFormat="false" ht="15" hidden="false" customHeight="false" outlineLevel="0" collapsed="false">
      <c r="A45" s="112" t="n">
        <v>150000</v>
      </c>
      <c r="B45" s="112" t="n">
        <v>9147763.88888889</v>
      </c>
      <c r="C45" s="112" t="n">
        <v>-481416.666666666</v>
      </c>
      <c r="D45" s="111" t="s">
        <v>818</v>
      </c>
    </row>
    <row r="46" customFormat="false" ht="15" hidden="false" customHeight="false" outlineLevel="0" collapsed="false">
      <c r="A46" s="117" t="n">
        <v>237000</v>
      </c>
      <c r="B46" s="117" t="n">
        <v>9631097.22222222</v>
      </c>
      <c r="C46" s="117" t="n">
        <v>1916.66666666605</v>
      </c>
      <c r="D46" s="118" t="s">
        <v>819</v>
      </c>
    </row>
    <row r="47" customFormat="false" ht="15" hidden="false" customHeight="false" outlineLevel="0" collapsed="false">
      <c r="A47" s="112" t="n">
        <v>300000</v>
      </c>
      <c r="B47" s="112" t="n">
        <v>9981097.22222222</v>
      </c>
      <c r="C47" s="112" t="n">
        <v>351916.666666666</v>
      </c>
      <c r="D47" s="111" t="s">
        <v>820</v>
      </c>
    </row>
    <row r="48" customFormat="false" ht="15" hidden="false" customHeight="false" outlineLevel="0" collapsed="false">
      <c r="A48" s="112" t="n">
        <v>450000</v>
      </c>
      <c r="B48" s="112" t="n">
        <v>10814430.5555556</v>
      </c>
      <c r="C48" s="112" t="n">
        <v>1185250</v>
      </c>
      <c r="D48" s="111" t="s">
        <v>820</v>
      </c>
    </row>
    <row r="49" customFormat="false" ht="15" hidden="false" customHeight="false" outlineLevel="0" collapsed="false">
      <c r="A49" s="112" t="n">
        <v>600000</v>
      </c>
      <c r="B49" s="112" t="n">
        <v>11647763.8888889</v>
      </c>
      <c r="C49" s="112" t="n">
        <v>2018583.33333333</v>
      </c>
      <c r="D49" s="111" t="s">
        <v>820</v>
      </c>
    </row>
    <row r="50" customFormat="false" ht="15" hidden="false" customHeight="false" outlineLevel="0" collapsed="false">
      <c r="A50" s="112" t="n">
        <v>750000</v>
      </c>
      <c r="B50" s="112" t="n">
        <v>12481097.2222222</v>
      </c>
      <c r="C50" s="112" t="n">
        <v>2851916.66666667</v>
      </c>
      <c r="D50" s="111" t="s">
        <v>820</v>
      </c>
    </row>
    <row r="52" customFormat="false" ht="43.25" hidden="false" customHeight="false" outlineLevel="0" collapsed="false">
      <c r="A52" s="119" t="s">
        <v>821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6"/>
    <col collapsed="false" customWidth="true" hidden="false" outlineLevel="0" max="3" min="3" style="1" width="11"/>
    <col collapsed="false" customWidth="true" hidden="false" outlineLevel="0" max="5" min="4" style="1" width="15"/>
    <col collapsed="false" customWidth="true" hidden="false" outlineLevel="0" max="7" min="6" style="1" width="14"/>
  </cols>
  <sheetData>
    <row r="1" customFormat="false" ht="17.25" hidden="false" customHeight="true" outlineLevel="0" collapsed="false">
      <c r="A1" s="2" t="s">
        <v>822</v>
      </c>
    </row>
    <row r="2" customFormat="false" ht="15" hidden="false" customHeight="true" outlineLevel="0" collapsed="false">
      <c r="A2" s="3" t="s">
        <v>823</v>
      </c>
    </row>
    <row r="4" customFormat="false" ht="31.5" hidden="false" customHeight="true" outlineLevel="0" collapsed="false">
      <c r="A4" s="15" t="s">
        <v>352</v>
      </c>
      <c r="B4" s="15" t="s">
        <v>544</v>
      </c>
      <c r="C4" s="15" t="s">
        <v>440</v>
      </c>
      <c r="D4" s="15" t="s">
        <v>571</v>
      </c>
      <c r="E4" s="15" t="s">
        <v>824</v>
      </c>
      <c r="F4" s="15" t="s">
        <v>807</v>
      </c>
      <c r="G4" s="15" t="s">
        <v>397</v>
      </c>
    </row>
    <row r="5" customFormat="false" ht="15" hidden="false" customHeight="true" outlineLevel="0" collapsed="false">
      <c r="B5" s="120" t="s">
        <v>825</v>
      </c>
      <c r="C5" s="121" t="n">
        <f aca="false">'CY2027 MVP'!$B$30</f>
        <v>71.5</v>
      </c>
      <c r="D5" s="122" t="n">
        <f aca="false">'CY2027 MVP'!$C$30+Assumptions!$B$13</f>
        <v>3157625</v>
      </c>
    </row>
    <row r="6" customFormat="false" ht="15" hidden="false" customHeight="true" outlineLevel="0" collapsed="false">
      <c r="A6" s="33" t="n">
        <v>2027</v>
      </c>
      <c r="B6" s="33" t="s">
        <v>803</v>
      </c>
      <c r="C6" s="71" t="n">
        <f aca="false">SUM(C5:C5)</f>
        <v>71.5</v>
      </c>
      <c r="D6" s="35" t="n">
        <f aca="false">SUM(D5:D5)</f>
        <v>3157625</v>
      </c>
      <c r="E6" s="35" t="n">
        <f aca="false">D6/(1-Assumptions!$B$12)</f>
        <v>3508472.22222222</v>
      </c>
      <c r="F6" s="35" t="n">
        <v>3400000</v>
      </c>
      <c r="G6" s="35" t="n">
        <f aca="false">F6-E6</f>
        <v>-108472.222222222</v>
      </c>
    </row>
    <row r="8" customFormat="false" ht="15" hidden="false" customHeight="true" outlineLevel="0" collapsed="false">
      <c r="B8" s="120" t="s">
        <v>826</v>
      </c>
      <c r="C8" s="123" t="n">
        <v>22</v>
      </c>
      <c r="D8" s="122" t="n">
        <f aca="false">C8*Assumptions!$B$10</f>
        <v>808500</v>
      </c>
    </row>
    <row r="9" customFormat="false" ht="15" hidden="false" customHeight="true" outlineLevel="0" collapsed="false">
      <c r="B9" s="120" t="s">
        <v>827</v>
      </c>
      <c r="C9" s="123" t="n">
        <v>12</v>
      </c>
      <c r="D9" s="122" t="n">
        <f aca="false">C9*Assumptions!$B$10</f>
        <v>441000</v>
      </c>
    </row>
    <row r="10" customFormat="false" ht="15" hidden="false" customHeight="true" outlineLevel="0" collapsed="false">
      <c r="B10" s="120" t="s">
        <v>828</v>
      </c>
      <c r="C10" s="123" t="n">
        <v>7</v>
      </c>
      <c r="D10" s="122" t="n">
        <f aca="false">C10*Assumptions!$B$10</f>
        <v>257250</v>
      </c>
    </row>
    <row r="11" customFormat="false" ht="15" hidden="false" customHeight="true" outlineLevel="0" collapsed="false">
      <c r="B11" s="120" t="s">
        <v>829</v>
      </c>
      <c r="C11" s="123" t="n">
        <v>12</v>
      </c>
      <c r="D11" s="122" t="n">
        <f aca="false">C11*Assumptions!$B$10</f>
        <v>441000</v>
      </c>
    </row>
    <row r="12" customFormat="false" ht="15" hidden="false" customHeight="true" outlineLevel="0" collapsed="false">
      <c r="B12" s="120" t="s">
        <v>830</v>
      </c>
      <c r="C12" s="123" t="n">
        <v>12</v>
      </c>
      <c r="D12" s="122" t="n">
        <f aca="false">C12*Assumptions!$B$10</f>
        <v>441000</v>
      </c>
    </row>
    <row r="13" customFormat="false" ht="15" hidden="false" customHeight="true" outlineLevel="0" collapsed="false">
      <c r="A13" s="33" t="n">
        <v>2028</v>
      </c>
      <c r="B13" s="33" t="s">
        <v>831</v>
      </c>
      <c r="C13" s="71" t="n">
        <f aca="false">SUM(C8:C12)</f>
        <v>65</v>
      </c>
      <c r="D13" s="35" t="n">
        <f aca="false">SUM(D8:D12)+Assumptions!$B$14</f>
        <v>2868750</v>
      </c>
      <c r="E13" s="35" t="n">
        <f aca="false">D13/(1-Assumptions!$B$12)</f>
        <v>3187500</v>
      </c>
      <c r="F13" s="35" t="n">
        <v>3400000</v>
      </c>
      <c r="G13" s="35" t="n">
        <f aca="false">F13-E13</f>
        <v>212500</v>
      </c>
    </row>
    <row r="15" customFormat="false" ht="15" hidden="false" customHeight="true" outlineLevel="0" collapsed="false">
      <c r="B15" s="120" t="s">
        <v>832</v>
      </c>
      <c r="C15" s="123" t="n">
        <v>22</v>
      </c>
      <c r="D15" s="122" t="n">
        <f aca="false">C15*Assumptions!$B$10</f>
        <v>808500</v>
      </c>
    </row>
    <row r="16" customFormat="false" ht="15" hidden="false" customHeight="true" outlineLevel="0" collapsed="false">
      <c r="B16" s="120" t="s">
        <v>833</v>
      </c>
      <c r="C16" s="123" t="n">
        <v>14</v>
      </c>
      <c r="D16" s="122" t="n">
        <f aca="false">C16*Assumptions!$B$10</f>
        <v>514500</v>
      </c>
    </row>
    <row r="17" customFormat="false" ht="15" hidden="false" customHeight="true" outlineLevel="0" collapsed="false">
      <c r="B17" s="120" t="s">
        <v>834</v>
      </c>
      <c r="C17" s="123" t="n">
        <v>14</v>
      </c>
      <c r="D17" s="122" t="n">
        <f aca="false">C17*Assumptions!$B$10</f>
        <v>514500</v>
      </c>
    </row>
    <row r="18" customFormat="false" ht="15" hidden="false" customHeight="true" outlineLevel="0" collapsed="false">
      <c r="B18" s="120" t="s">
        <v>835</v>
      </c>
      <c r="C18" s="123" t="n">
        <v>8</v>
      </c>
      <c r="D18" s="122" t="n">
        <f aca="false">C18*Assumptions!$B$10</f>
        <v>294000</v>
      </c>
    </row>
    <row r="19" customFormat="false" ht="15" hidden="false" customHeight="true" outlineLevel="0" collapsed="false">
      <c r="B19" s="120" t="s">
        <v>836</v>
      </c>
      <c r="C19" s="123" t="n">
        <v>8</v>
      </c>
      <c r="D19" s="122" t="n">
        <f aca="false">C19*Assumptions!$B$10</f>
        <v>294000</v>
      </c>
    </row>
    <row r="20" customFormat="false" ht="15" hidden="false" customHeight="true" outlineLevel="0" collapsed="false">
      <c r="A20" s="33" t="n">
        <v>2029</v>
      </c>
      <c r="B20" s="33" t="s">
        <v>837</v>
      </c>
      <c r="C20" s="71" t="n">
        <f aca="false">SUM(C15:C19)</f>
        <v>66</v>
      </c>
      <c r="D20" s="35" t="n">
        <f aca="false">SUM(D15:D19)+Assumptions!$B$14</f>
        <v>2905500</v>
      </c>
      <c r="E20" s="35" t="n">
        <f aca="false">D20/(1-Assumptions!$B$12)</f>
        <v>3228333.33333333</v>
      </c>
      <c r="F20" s="35" t="n">
        <v>3500000</v>
      </c>
      <c r="G20" s="35" t="n">
        <f aca="false">F20-E20</f>
        <v>271666.666666667</v>
      </c>
    </row>
    <row r="22" customFormat="false" ht="15" hidden="false" customHeight="true" outlineLevel="0" collapsed="false">
      <c r="B22" s="120" t="s">
        <v>832</v>
      </c>
      <c r="C22" s="123" t="n">
        <v>22</v>
      </c>
      <c r="D22" s="122" t="n">
        <f aca="false">C22*Assumptions!$B$10</f>
        <v>808500</v>
      </c>
    </row>
    <row r="23" customFormat="false" ht="15" hidden="false" customHeight="true" outlineLevel="0" collapsed="false">
      <c r="B23" s="120" t="s">
        <v>838</v>
      </c>
      <c r="C23" s="123" t="n">
        <v>12</v>
      </c>
      <c r="D23" s="122" t="n">
        <f aca="false">C23*Assumptions!$B$10</f>
        <v>441000</v>
      </c>
    </row>
    <row r="24" customFormat="false" ht="15" hidden="false" customHeight="true" outlineLevel="0" collapsed="false">
      <c r="B24" s="120" t="s">
        <v>839</v>
      </c>
      <c r="C24" s="123" t="n">
        <v>12</v>
      </c>
      <c r="D24" s="122" t="n">
        <f aca="false">C24*Assumptions!$B$10</f>
        <v>441000</v>
      </c>
    </row>
    <row r="25" customFormat="false" ht="15" hidden="false" customHeight="true" outlineLevel="0" collapsed="false">
      <c r="B25" s="120" t="s">
        <v>840</v>
      </c>
      <c r="C25" s="123" t="n">
        <v>10</v>
      </c>
      <c r="D25" s="122" t="n">
        <f aca="false">C25*Assumptions!$B$10</f>
        <v>367500</v>
      </c>
    </row>
    <row r="26" customFormat="false" ht="15" hidden="false" customHeight="true" outlineLevel="0" collapsed="false">
      <c r="B26" s="120" t="s">
        <v>841</v>
      </c>
      <c r="C26" s="123" t="n">
        <v>4</v>
      </c>
      <c r="D26" s="122" t="n">
        <f aca="false">C26*Assumptions!$B$10</f>
        <v>147000</v>
      </c>
    </row>
    <row r="27" customFormat="false" ht="15" hidden="false" customHeight="true" outlineLevel="0" collapsed="false">
      <c r="A27" s="33" t="n">
        <v>2030</v>
      </c>
      <c r="B27" s="33" t="s">
        <v>842</v>
      </c>
      <c r="C27" s="71" t="n">
        <f aca="false">SUM(C22:C26)</f>
        <v>60</v>
      </c>
      <c r="D27" s="35" t="n">
        <f aca="false">SUM(D22:D26)+Assumptions!$B$14</f>
        <v>2685000</v>
      </c>
      <c r="E27" s="35" t="n">
        <f aca="false">D27/(1-Assumptions!$B$12)</f>
        <v>2983333.33333333</v>
      </c>
      <c r="F27" s="35" t="n">
        <v>3500000</v>
      </c>
      <c r="G27" s="35" t="n">
        <f aca="false">F27-E27</f>
        <v>516666.666666667</v>
      </c>
    </row>
    <row r="29" customFormat="false" ht="15" hidden="false" customHeight="true" outlineLevel="0" collapsed="false">
      <c r="B29" s="120" t="s">
        <v>832</v>
      </c>
      <c r="C29" s="123" t="n">
        <v>22</v>
      </c>
      <c r="D29" s="122" t="n">
        <f aca="false">C29*Assumptions!$B$10</f>
        <v>808500</v>
      </c>
    </row>
    <row r="30" customFormat="false" ht="15" hidden="false" customHeight="true" outlineLevel="0" collapsed="false">
      <c r="B30" s="120" t="s">
        <v>843</v>
      </c>
      <c r="C30" s="123" t="n">
        <v>14</v>
      </c>
      <c r="D30" s="122" t="n">
        <f aca="false">C30*Assumptions!$B$10</f>
        <v>514500</v>
      </c>
    </row>
    <row r="31" customFormat="false" ht="15" hidden="false" customHeight="true" outlineLevel="0" collapsed="false">
      <c r="B31" s="120" t="s">
        <v>844</v>
      </c>
      <c r="C31" s="123" t="n">
        <v>8</v>
      </c>
      <c r="D31" s="122" t="n">
        <f aca="false">C31*Assumptions!$B$10</f>
        <v>294000</v>
      </c>
    </row>
    <row r="32" customFormat="false" ht="15" hidden="false" customHeight="true" outlineLevel="0" collapsed="false">
      <c r="B32" s="120" t="s">
        <v>845</v>
      </c>
      <c r="C32" s="123" t="n">
        <v>8</v>
      </c>
      <c r="D32" s="122" t="n">
        <f aca="false">C32*Assumptions!$B$10</f>
        <v>294000</v>
      </c>
    </row>
    <row r="33" customFormat="false" ht="15" hidden="false" customHeight="true" outlineLevel="0" collapsed="false">
      <c r="B33" s="120" t="s">
        <v>846</v>
      </c>
      <c r="C33" s="123" t="n">
        <v>6</v>
      </c>
      <c r="D33" s="122" t="n">
        <f aca="false">C33*Assumptions!$B$10</f>
        <v>220500</v>
      </c>
    </row>
    <row r="34" customFormat="false" ht="15" hidden="false" customHeight="true" outlineLevel="0" collapsed="false">
      <c r="A34" s="33" t="n">
        <v>2031</v>
      </c>
      <c r="B34" s="33" t="s">
        <v>847</v>
      </c>
      <c r="C34" s="71" t="n">
        <f aca="false">SUM(C29:C33)</f>
        <v>58</v>
      </c>
      <c r="D34" s="35" t="n">
        <f aca="false">SUM(D29:D33)+Assumptions!$B$14</f>
        <v>2611500</v>
      </c>
      <c r="E34" s="35" t="n">
        <f aca="false">D34/(1-Assumptions!$B$12)</f>
        <v>2901666.66666667</v>
      </c>
      <c r="F34" s="35" t="n">
        <v>3500000</v>
      </c>
      <c r="G34" s="35" t="n">
        <f aca="false">F34-E34</f>
        <v>598333.333333334</v>
      </c>
    </row>
    <row r="36" customFormat="false" ht="15" hidden="false" customHeight="true" outlineLevel="0" collapsed="false">
      <c r="A36" s="124"/>
      <c r="B36" s="18" t="s">
        <v>673</v>
      </c>
      <c r="C36" s="83" t="n">
        <f aca="false">C6+C13+C20+C27+C34</f>
        <v>320.5</v>
      </c>
      <c r="D36" s="46" t="n">
        <f aca="false">D6+D13+D20+D27+D34</f>
        <v>14228375</v>
      </c>
      <c r="E36" s="46" t="n">
        <f aca="false">E6+E13+E20+E27+E34</f>
        <v>15809305.5555556</v>
      </c>
      <c r="F36" s="46" t="n">
        <f aca="false">F6+F13+F20+F27+F34</f>
        <v>17300000</v>
      </c>
      <c r="G36" s="46" t="n">
        <f aca="false">G6+G13+G20+G27+G34</f>
        <v>1490694.44444445</v>
      </c>
    </row>
    <row r="38" customFormat="false" ht="15" hidden="false" customHeight="true" outlineLevel="0" collapsed="false">
      <c r="B38" s="125" t="s">
        <v>848</v>
      </c>
    </row>
    <row r="39" customFormat="false" ht="15" hidden="false" customHeight="true" outlineLevel="0" collapsed="false">
      <c r="A39" s="126"/>
      <c r="B39" s="85" t="s">
        <v>560</v>
      </c>
      <c r="C39" s="86" t="n">
        <v>16</v>
      </c>
      <c r="D39" s="87" t="n">
        <f aca="false">C39*Assumptions!$B$10</f>
        <v>588000</v>
      </c>
    </row>
    <row r="40" customFormat="false" ht="15" hidden="false" customHeight="true" outlineLevel="0" collapsed="false">
      <c r="A40" s="126"/>
      <c r="B40" s="85" t="s">
        <v>561</v>
      </c>
      <c r="C40" s="86" t="n">
        <v>20</v>
      </c>
      <c r="D40" s="87" t="n">
        <f aca="false">C40*Assumptions!$B$10</f>
        <v>735000</v>
      </c>
    </row>
    <row r="41" customFormat="false" ht="15" hidden="false" customHeight="true" outlineLevel="0" collapsed="false">
      <c r="A41" s="126"/>
      <c r="B41" s="85" t="s">
        <v>562</v>
      </c>
      <c r="C41" s="86" t="n">
        <v>8</v>
      </c>
      <c r="D41" s="87" t="n">
        <f aca="false">C41*Assumptions!$B$10</f>
        <v>294000</v>
      </c>
    </row>
    <row r="42" customFormat="false" ht="15" hidden="false" customHeight="true" outlineLevel="0" collapsed="false">
      <c r="A42" s="126"/>
      <c r="B42" s="85" t="s">
        <v>563</v>
      </c>
      <c r="C42" s="86" t="n">
        <v>7</v>
      </c>
      <c r="D42" s="87" t="n">
        <f aca="false">C42*Assumptions!$B$10</f>
        <v>257250</v>
      </c>
    </row>
    <row r="43" customFormat="false" ht="15" hidden="false" customHeight="true" outlineLevel="0" collapsed="false">
      <c r="A43" s="21"/>
      <c r="B43" s="21" t="s">
        <v>849</v>
      </c>
      <c r="C43" s="88" t="n">
        <f aca="false">SUM(C39:C42)</f>
        <v>51</v>
      </c>
      <c r="D43" s="82" t="n">
        <f aca="false">SUM(D39:D42)</f>
        <v>1874250</v>
      </c>
    </row>
    <row r="45" customFormat="false" ht="43.5" hidden="false" customHeight="true" outlineLevel="0" collapsed="false">
      <c r="B45" s="58" t="s">
        <v>850</v>
      </c>
      <c r="C45" s="58"/>
      <c r="D45" s="58"/>
      <c r="E45" s="58"/>
      <c r="F45" s="58"/>
      <c r="G45" s="58"/>
    </row>
  </sheetData>
  <mergeCells count="1">
    <mergeCell ref="B45:G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50"/>
    <col collapsed="false" customWidth="true" hidden="false" outlineLevel="0" max="3" min="3" style="1" width="26"/>
    <col collapsed="false" customWidth="true" hidden="false" outlineLevel="0" max="4" min="4" style="1" width="28"/>
    <col collapsed="false" customWidth="true" hidden="false" outlineLevel="0" max="5" min="5" style="1" width="12"/>
    <col collapsed="false" customWidth="true" hidden="false" outlineLevel="0" max="6" min="6" style="1" width="13"/>
    <col collapsed="false" customWidth="true" hidden="false" outlineLevel="0" max="7" min="7" style="1" width="12"/>
    <col collapsed="false" customWidth="true" hidden="false" outlineLevel="0" max="8" min="8" style="1" width="14"/>
    <col collapsed="false" customWidth="true" hidden="false" outlineLevel="0" max="9" min="9" style="1" width="60"/>
  </cols>
  <sheetData>
    <row r="1" customFormat="false" ht="17.25" hidden="false" customHeight="true" outlineLevel="0" collapsed="false">
      <c r="A1" s="2" t="s">
        <v>851</v>
      </c>
    </row>
    <row r="2" customFormat="false" ht="15" hidden="false" customHeight="true" outlineLevel="0" collapsed="false">
      <c r="A2" s="3" t="s">
        <v>852</v>
      </c>
    </row>
    <row r="4" customFormat="false" ht="31.5" hidden="false" customHeight="true" outlineLevel="0" collapsed="false">
      <c r="A4" s="15" t="s">
        <v>853</v>
      </c>
      <c r="B4" s="15" t="s">
        <v>854</v>
      </c>
      <c r="C4" s="15" t="s">
        <v>855</v>
      </c>
      <c r="D4" s="15" t="s">
        <v>856</v>
      </c>
      <c r="E4" s="15" t="s">
        <v>857</v>
      </c>
      <c r="F4" s="15" t="s">
        <v>858</v>
      </c>
      <c r="G4" s="15" t="s">
        <v>859</v>
      </c>
      <c r="H4" s="15" t="s">
        <v>860</v>
      </c>
      <c r="I4" s="15" t="s">
        <v>861</v>
      </c>
    </row>
    <row r="5" customFormat="false" ht="60" hidden="false" customHeight="true" outlineLevel="0" collapsed="false">
      <c r="A5" s="21" t="s">
        <v>862</v>
      </c>
      <c r="B5" s="16" t="s">
        <v>863</v>
      </c>
      <c r="C5" s="16" t="s">
        <v>864</v>
      </c>
      <c r="D5" s="16" t="s">
        <v>865</v>
      </c>
      <c r="E5" s="75" t="n">
        <v>8</v>
      </c>
      <c r="F5" s="75" t="n">
        <v>35</v>
      </c>
      <c r="G5" s="88" t="n">
        <f aca="false">F5-E5</f>
        <v>27</v>
      </c>
      <c r="H5" s="82" t="n">
        <f aca="false">G5*Assumptions!$B$10</f>
        <v>992250</v>
      </c>
      <c r="I5" s="16" t="s">
        <v>866</v>
      </c>
    </row>
    <row r="6" customFormat="false" ht="60" hidden="false" customHeight="true" outlineLevel="0" collapsed="false">
      <c r="A6" s="21" t="s">
        <v>867</v>
      </c>
      <c r="B6" s="16" t="s">
        <v>868</v>
      </c>
      <c r="C6" s="16" t="s">
        <v>869</v>
      </c>
      <c r="D6" s="16" t="s">
        <v>870</v>
      </c>
      <c r="E6" s="75" t="n">
        <v>4</v>
      </c>
      <c r="F6" s="75" t="n">
        <v>12</v>
      </c>
      <c r="G6" s="88" t="n">
        <f aca="false">F6-E6</f>
        <v>8</v>
      </c>
      <c r="H6" s="82" t="n">
        <f aca="false">G6*Assumptions!$B$10</f>
        <v>294000</v>
      </c>
      <c r="I6" s="16" t="s">
        <v>871</v>
      </c>
    </row>
    <row r="7" customFormat="false" ht="48" hidden="false" customHeight="true" outlineLevel="0" collapsed="false">
      <c r="A7" s="21" t="s">
        <v>872</v>
      </c>
      <c r="B7" s="16" t="s">
        <v>873</v>
      </c>
      <c r="C7" s="16" t="s">
        <v>874</v>
      </c>
      <c r="D7" s="16" t="s">
        <v>875</v>
      </c>
      <c r="E7" s="75" t="n">
        <v>2</v>
      </c>
      <c r="F7" s="75" t="n">
        <v>12</v>
      </c>
      <c r="G7" s="88" t="n">
        <f aca="false">F7-E7</f>
        <v>10</v>
      </c>
      <c r="H7" s="82" t="n">
        <f aca="false">G7*Assumptions!$B$10</f>
        <v>367500</v>
      </c>
      <c r="I7" s="16" t="s">
        <v>876</v>
      </c>
    </row>
    <row r="8" customFormat="false" ht="48" hidden="false" customHeight="true" outlineLevel="0" collapsed="false">
      <c r="A8" s="21" t="s">
        <v>877</v>
      </c>
      <c r="B8" s="16" t="s">
        <v>878</v>
      </c>
      <c r="C8" s="16" t="s">
        <v>879</v>
      </c>
      <c r="D8" s="16" t="s">
        <v>880</v>
      </c>
      <c r="E8" s="75" t="n">
        <v>1.5</v>
      </c>
      <c r="F8" s="75" t="n">
        <v>7</v>
      </c>
      <c r="G8" s="88" t="n">
        <f aca="false">F8-E8</f>
        <v>5.5</v>
      </c>
      <c r="H8" s="82" t="n">
        <f aca="false">G8*Assumptions!$B$10</f>
        <v>202125</v>
      </c>
      <c r="I8" s="16" t="s">
        <v>881</v>
      </c>
    </row>
    <row r="9" customFormat="false" ht="48" hidden="false" customHeight="true" outlineLevel="0" collapsed="false">
      <c r="A9" s="21" t="s">
        <v>882</v>
      </c>
      <c r="B9" s="16" t="s">
        <v>883</v>
      </c>
      <c r="C9" s="16" t="s">
        <v>869</v>
      </c>
      <c r="D9" s="16" t="s">
        <v>884</v>
      </c>
      <c r="E9" s="75" t="n">
        <v>3</v>
      </c>
      <c r="F9" s="75" t="n">
        <v>8</v>
      </c>
      <c r="G9" s="88" t="n">
        <f aca="false">F9-E9</f>
        <v>5</v>
      </c>
      <c r="H9" s="82" t="n">
        <f aca="false">G9*Assumptions!$B$10</f>
        <v>183750</v>
      </c>
      <c r="I9" s="16" t="s">
        <v>885</v>
      </c>
    </row>
    <row r="10" customFormat="false" ht="72" hidden="false" customHeight="true" outlineLevel="0" collapsed="false">
      <c r="A10" s="21" t="s">
        <v>886</v>
      </c>
      <c r="B10" s="16" t="s">
        <v>887</v>
      </c>
      <c r="C10" s="16" t="s">
        <v>888</v>
      </c>
      <c r="D10" s="16" t="s">
        <v>889</v>
      </c>
      <c r="E10" s="75" t="n">
        <v>2.5</v>
      </c>
      <c r="F10" s="75" t="n">
        <v>7</v>
      </c>
      <c r="G10" s="88" t="n">
        <f aca="false">F10-E10</f>
        <v>4.5</v>
      </c>
      <c r="H10" s="82" t="n">
        <f aca="false">G10*Assumptions!$B$10</f>
        <v>165375</v>
      </c>
      <c r="I10" s="16" t="s">
        <v>890</v>
      </c>
    </row>
    <row r="11" customFormat="false" ht="15" hidden="false" customHeight="true" outlineLevel="0" collapsed="false">
      <c r="A11" s="32"/>
      <c r="B11" s="32"/>
      <c r="C11" s="32"/>
      <c r="D11" s="33" t="s">
        <v>891</v>
      </c>
      <c r="E11" s="71" t="n">
        <f aca="false">SUM(E5:E10)</f>
        <v>21</v>
      </c>
      <c r="F11" s="71" t="n">
        <f aca="false">SUM(F5:F10)</f>
        <v>81</v>
      </c>
      <c r="G11" s="71" t="n">
        <f aca="false">SUM(G5:G10)</f>
        <v>60</v>
      </c>
      <c r="H11" s="35" t="n">
        <f aca="false">SUM(H5:H10)</f>
        <v>2205000</v>
      </c>
      <c r="I11" s="3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24"/>
    <col collapsed="false" customWidth="true" hidden="false" outlineLevel="0" max="3" min="3" style="1" width="20"/>
    <col collapsed="false" customWidth="true" hidden="false" outlineLevel="0" max="4" min="4" style="1" width="24"/>
    <col collapsed="false" customWidth="true" hidden="false" outlineLevel="0" max="5" min="5" style="1" width="20"/>
    <col collapsed="false" customWidth="true" hidden="false" outlineLevel="0" max="6" min="6" style="1" width="24"/>
  </cols>
  <sheetData>
    <row r="1" customFormat="false" ht="17.25" hidden="false" customHeight="true" outlineLevel="0" collapsed="false">
      <c r="A1" s="2" t="s">
        <v>892</v>
      </c>
    </row>
    <row r="2" customFormat="false" ht="15" hidden="false" customHeight="true" outlineLevel="0" collapsed="false">
      <c r="A2" s="3" t="s">
        <v>893</v>
      </c>
    </row>
    <row r="3" customFormat="false" ht="15" hidden="false" customHeight="true" outlineLevel="0" collapsed="false">
      <c r="A3" s="3" t="s">
        <v>894</v>
      </c>
      <c r="D3" s="123" t="n">
        <v>184.5</v>
      </c>
    </row>
    <row r="4" customFormat="false" ht="31.5" hidden="false" customHeight="true" outlineLevel="0" collapsed="false">
      <c r="A4" s="15" t="s">
        <v>895</v>
      </c>
      <c r="B4" s="15" t="s">
        <v>896</v>
      </c>
      <c r="C4" s="15" t="s">
        <v>897</v>
      </c>
      <c r="D4" s="15" t="s">
        <v>898</v>
      </c>
      <c r="E4" s="15" t="s">
        <v>899</v>
      </c>
      <c r="F4" s="15" t="s">
        <v>900</v>
      </c>
    </row>
    <row r="5" customFormat="false" ht="15" hidden="false" customHeight="true" outlineLevel="0" collapsed="false">
      <c r="A5" s="127" t="n">
        <v>0.05</v>
      </c>
      <c r="B5" s="37" t="n">
        <f aca="false">('CY2027 MVP'!$C$30+Assumptions!$B$13)/(1-A5)</f>
        <v>3323815.78947368</v>
      </c>
      <c r="C5" s="37" t="n">
        <f aca="false">3400000-B5</f>
        <v>76184.2105263155</v>
      </c>
      <c r="D5" s="37" t="n">
        <f aca="false">($D$3*Assumptions!$B$10+Assumptions!$B$13)/(1-A5)</f>
        <v>7695131.57894737</v>
      </c>
      <c r="E5" s="37" t="n">
        <f aca="false">3400000-D5</f>
        <v>-4295131.57894737</v>
      </c>
      <c r="F5" s="128" t="n">
        <f aca="false">(3400000*(1-A5)-Assumptions!$B$13)/Assumptions!$B$10</f>
        <v>73.4693877551021</v>
      </c>
    </row>
    <row r="6" customFormat="false" ht="15" hidden="false" customHeight="true" outlineLevel="0" collapsed="false">
      <c r="A6" s="127" t="n">
        <v>0.075</v>
      </c>
      <c r="B6" s="37" t="n">
        <f aca="false">('CY2027 MVP'!$C$30+Assumptions!$B$13)/(1-A6)</f>
        <v>3413648.64864865</v>
      </c>
      <c r="C6" s="37" t="n">
        <f aca="false">3400000-B6</f>
        <v>-13648.6486486485</v>
      </c>
      <c r="D6" s="37" t="n">
        <f aca="false">($D$3*Assumptions!$B$10+Assumptions!$B$13)/(1-A6)</f>
        <v>7903108.10810811</v>
      </c>
      <c r="E6" s="37" t="n">
        <f aca="false">3400000-D6</f>
        <v>-4503108.10810811</v>
      </c>
      <c r="F6" s="128" t="n">
        <f aca="false">(3400000*(1-A6)-Assumptions!$B$13)/Assumptions!$B$10</f>
        <v>71.156462585034</v>
      </c>
    </row>
    <row r="7" customFormat="false" ht="15" hidden="false" customHeight="true" outlineLevel="0" collapsed="false">
      <c r="A7" s="129" t="n">
        <v>0.1</v>
      </c>
      <c r="B7" s="130" t="n">
        <f aca="false">('CY2027 MVP'!$C$30+Assumptions!$B$13)/(1-A7)</f>
        <v>3508472.22222222</v>
      </c>
      <c r="C7" s="130" t="n">
        <f aca="false">3400000-B7</f>
        <v>-108472.222222222</v>
      </c>
      <c r="D7" s="130" t="n">
        <f aca="false">($D$3*Assumptions!$B$10+Assumptions!$B$13)/(1-A7)</f>
        <v>8122638.88888889</v>
      </c>
      <c r="E7" s="130" t="n">
        <f aca="false">3400000-D7</f>
        <v>-4722638.88888889</v>
      </c>
      <c r="F7" s="131" t="n">
        <f aca="false">(3400000*(1-A7)-Assumptions!$B$13)/Assumptions!$B$10</f>
        <v>68.843537414966</v>
      </c>
    </row>
    <row r="8" customFormat="false" ht="15" hidden="false" customHeight="true" outlineLevel="0" collapsed="false">
      <c r="A8" s="127" t="n">
        <v>0.15</v>
      </c>
      <c r="B8" s="37" t="n">
        <f aca="false">('CY2027 MVP'!$C$30+Assumptions!$B$13)/(1-A8)</f>
        <v>3714852.94117647</v>
      </c>
      <c r="C8" s="37" t="n">
        <f aca="false">3400000-B8</f>
        <v>-314852.941176471</v>
      </c>
      <c r="D8" s="37" t="n">
        <f aca="false">($D$3*Assumptions!$B$10+Assumptions!$B$13)/(1-A8)</f>
        <v>8600441.17647059</v>
      </c>
      <c r="E8" s="37" t="n">
        <f aca="false">3400000-D8</f>
        <v>-5200441.17647059</v>
      </c>
      <c r="F8" s="128" t="n">
        <f aca="false">(3400000*(1-A8)-Assumptions!$B$13)/Assumptions!$B$10</f>
        <v>64.2176870748299</v>
      </c>
    </row>
    <row r="9" customFormat="false" ht="15" hidden="false" customHeight="true" outlineLevel="0" collapsed="false">
      <c r="A9" s="127" t="n">
        <v>0.2</v>
      </c>
      <c r="B9" s="37" t="n">
        <f aca="false">('CY2027 MVP'!$C$30+Assumptions!$B$13)/(1-A9)</f>
        <v>3947031.25</v>
      </c>
      <c r="C9" s="37" t="n">
        <f aca="false">3400000-B9</f>
        <v>-547031.25</v>
      </c>
      <c r="D9" s="37" t="n">
        <f aca="false">($D$3*Assumptions!$B$10+Assumptions!$B$13)/(1-A9)</f>
        <v>9137968.75</v>
      </c>
      <c r="E9" s="37" t="n">
        <f aca="false">3400000-D9</f>
        <v>-5737968.75</v>
      </c>
      <c r="F9" s="128" t="n">
        <f aca="false">(3400000*(1-A9)-Assumptions!$B$13)/Assumptions!$B$10</f>
        <v>59.5918367346939</v>
      </c>
    </row>
    <row r="10" customFormat="false" ht="15" hidden="false" customHeight="true" outlineLevel="0" collapsed="false">
      <c r="A10" s="127" t="n">
        <v>0.25</v>
      </c>
      <c r="B10" s="37" t="n">
        <f aca="false">('CY2027 MVP'!$C$30+Assumptions!$B$13)/(1-A10)</f>
        <v>4210166.66666667</v>
      </c>
      <c r="C10" s="37" t="n">
        <f aca="false">3400000-B10</f>
        <v>-810166.666666667</v>
      </c>
      <c r="D10" s="37" t="n">
        <f aca="false">($D$3*Assumptions!$B$10+Assumptions!$B$13)/(1-A10)</f>
        <v>9747166.66666667</v>
      </c>
      <c r="E10" s="37" t="n">
        <f aca="false">3400000-D10</f>
        <v>-6347166.66666667</v>
      </c>
      <c r="F10" s="128" t="n">
        <f aca="false">(3400000*(1-A10)-Assumptions!$B$13)/Assumptions!$B$10</f>
        <v>54.9659863945578</v>
      </c>
    </row>
    <row r="12" customFormat="false" ht="13.5" hidden="false" customHeight="true" outlineLevel="0" collapsed="false">
      <c r="A12" s="42" t="s">
        <v>901</v>
      </c>
      <c r="B12" s="42"/>
      <c r="C12" s="42"/>
      <c r="D12" s="42"/>
      <c r="E12" s="42"/>
      <c r="F12" s="42"/>
    </row>
    <row r="13" customFormat="false" ht="24" hidden="false" customHeight="true" outlineLevel="0" collapsed="false">
      <c r="A13" s="132" t="s">
        <v>902</v>
      </c>
      <c r="B13" s="132"/>
      <c r="C13" s="132"/>
      <c r="D13" s="132"/>
      <c r="E13" s="132"/>
      <c r="F13" s="132"/>
    </row>
    <row r="14" customFormat="false" ht="24" hidden="false" customHeight="true" outlineLevel="0" collapsed="false">
      <c r="A14" s="133" t="s">
        <v>903</v>
      </c>
      <c r="B14" s="133"/>
      <c r="C14" s="133"/>
      <c r="D14" s="133"/>
      <c r="E14" s="133"/>
      <c r="F14" s="133"/>
    </row>
    <row r="15" customFormat="false" ht="13.5" hidden="false" customHeight="true" outlineLevel="0" collapsed="false">
      <c r="A15" s="132"/>
      <c r="B15" s="132"/>
      <c r="C15" s="132"/>
      <c r="D15" s="132"/>
      <c r="E15" s="132"/>
      <c r="F15" s="132"/>
    </row>
    <row r="16" customFormat="false" ht="13.5" hidden="false" customHeight="true" outlineLevel="0" collapsed="false">
      <c r="A16" s="42" t="s">
        <v>904</v>
      </c>
      <c r="B16" s="42"/>
      <c r="C16" s="42"/>
      <c r="D16" s="42"/>
      <c r="E16" s="42"/>
      <c r="F16" s="42"/>
    </row>
    <row r="17" customFormat="false" ht="24" hidden="false" customHeight="true" outlineLevel="0" collapsed="false">
      <c r="A17" s="132" t="s">
        <v>905</v>
      </c>
      <c r="B17" s="132"/>
      <c r="C17" s="132"/>
      <c r="D17" s="132"/>
      <c r="E17" s="132"/>
      <c r="F17" s="132"/>
    </row>
    <row r="18" customFormat="false" ht="48" hidden="false" customHeight="true" outlineLevel="0" collapsed="false">
      <c r="A18" s="132" t="s">
        <v>906</v>
      </c>
      <c r="B18" s="132"/>
      <c r="C18" s="132"/>
      <c r="D18" s="132"/>
      <c r="E18" s="132"/>
      <c r="F18" s="132"/>
    </row>
  </sheetData>
  <mergeCells count="7">
    <mergeCell ref="A12:F12"/>
    <mergeCell ref="A13:F13"/>
    <mergeCell ref="A14:F14"/>
    <mergeCell ref="A15:F15"/>
    <mergeCell ref="A16:F16"/>
    <mergeCell ref="A17:F17"/>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26"/>
    <col collapsed="false" customWidth="true" hidden="false" outlineLevel="0" max="3" min="3" style="1" width="92"/>
  </cols>
  <sheetData>
    <row r="1" customFormat="false" ht="17.25" hidden="false" customHeight="true" outlineLevel="0" collapsed="false">
      <c r="A1" s="2" t="s">
        <v>907</v>
      </c>
    </row>
    <row r="2" customFormat="false" ht="15" hidden="false" customHeight="true" outlineLevel="0" collapsed="false">
      <c r="A2" s="3" t="s">
        <v>908</v>
      </c>
    </row>
    <row r="4" customFormat="false" ht="31.5" hidden="false" customHeight="true" outlineLevel="0" collapsed="false">
      <c r="A4" s="15" t="s">
        <v>909</v>
      </c>
      <c r="B4" s="15" t="s">
        <v>910</v>
      </c>
      <c r="C4" s="15" t="s">
        <v>911</v>
      </c>
    </row>
    <row r="5" customFormat="false" ht="48" hidden="false" customHeight="true" outlineLevel="0" collapsed="false">
      <c r="A5" s="16" t="s">
        <v>912</v>
      </c>
      <c r="B5" s="16" t="s">
        <v>913</v>
      </c>
      <c r="C5" s="16" t="s">
        <v>914</v>
      </c>
    </row>
    <row r="6" customFormat="false" ht="36" hidden="false" customHeight="true" outlineLevel="0" collapsed="false">
      <c r="A6" s="16" t="s">
        <v>915</v>
      </c>
      <c r="B6" s="16" t="s">
        <v>916</v>
      </c>
      <c r="C6" s="16" t="s">
        <v>917</v>
      </c>
    </row>
    <row r="7" customFormat="false" ht="36" hidden="false" customHeight="true" outlineLevel="0" collapsed="false">
      <c r="A7" s="16" t="s">
        <v>918</v>
      </c>
      <c r="B7" s="16" t="s">
        <v>919</v>
      </c>
      <c r="C7" s="16" t="s">
        <v>920</v>
      </c>
    </row>
    <row r="8" customFormat="false" ht="30" hidden="false" customHeight="true" outlineLevel="0" collapsed="false">
      <c r="A8" s="16" t="s">
        <v>921</v>
      </c>
      <c r="B8" s="16" t="s">
        <v>922</v>
      </c>
      <c r="C8" s="16" t="s">
        <v>923</v>
      </c>
    </row>
    <row r="9" customFormat="false" ht="48" hidden="false" customHeight="true" outlineLevel="0" collapsed="false">
      <c r="A9" s="16" t="s">
        <v>924</v>
      </c>
      <c r="B9" s="16" t="s">
        <v>925</v>
      </c>
      <c r="C9" s="16" t="s">
        <v>926</v>
      </c>
    </row>
    <row r="10" customFormat="false" ht="36" hidden="false" customHeight="true" outlineLevel="0" collapsed="false">
      <c r="A10" s="16" t="s">
        <v>927</v>
      </c>
      <c r="B10" s="16" t="s">
        <v>928</v>
      </c>
      <c r="C10" s="16" t="s">
        <v>929</v>
      </c>
    </row>
    <row r="11" customFormat="false" ht="48" hidden="false" customHeight="true" outlineLevel="0" collapsed="false">
      <c r="A11" s="16" t="s">
        <v>930</v>
      </c>
      <c r="B11" s="16" t="s">
        <v>931</v>
      </c>
      <c r="C11" s="16" t="s">
        <v>932</v>
      </c>
    </row>
    <row r="12" customFormat="false" ht="30" hidden="false" customHeight="true" outlineLevel="0" collapsed="false">
      <c r="A12" s="16" t="s">
        <v>933</v>
      </c>
      <c r="B12" s="16" t="s">
        <v>934</v>
      </c>
      <c r="C12" s="16" t="s">
        <v>935</v>
      </c>
    </row>
    <row r="13" customFormat="false" ht="36" hidden="false" customHeight="true" outlineLevel="0" collapsed="false">
      <c r="A13" s="16" t="s">
        <v>936</v>
      </c>
      <c r="B13" s="16" t="s">
        <v>937</v>
      </c>
      <c r="C13" s="16" t="s">
        <v>938</v>
      </c>
    </row>
    <row r="14" customFormat="false" ht="36" hidden="false" customHeight="true" outlineLevel="0" collapsed="false">
      <c r="A14" s="16" t="s">
        <v>939</v>
      </c>
      <c r="B14" s="16" t="s">
        <v>940</v>
      </c>
      <c r="C14" s="16" t="s">
        <v>941</v>
      </c>
    </row>
    <row r="15" customFormat="false" ht="30" hidden="false" customHeight="true" outlineLevel="0" collapsed="false">
      <c r="A15" s="16" t="s">
        <v>942</v>
      </c>
      <c r="B15" s="16" t="s">
        <v>943</v>
      </c>
      <c r="C15" s="16" t="s">
        <v>944</v>
      </c>
    </row>
    <row r="16" customFormat="false" ht="60" hidden="false" customHeight="true" outlineLevel="0" collapsed="false">
      <c r="A16" s="16" t="s">
        <v>945</v>
      </c>
      <c r="B16" s="16" t="s">
        <v>946</v>
      </c>
      <c r="C16" s="16" t="s">
        <v>947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2026-09-17T03:02:19Z</dcterms:created>
  <dc:creator>openpyxl</dc:creator>
  <dc:description/>
  <dc:language>en-US</dc:language>
  <cp:lastModifiedBy/>
  <dcterms:modified xsi:type="dcterms:W3CDTF">2026-09-17T22:13:54Z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