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Revision log" sheetId="2" state="visible" r:id="rId4"/>
    <sheet name="Gantt" sheetId="3" state="visible" r:id="rId5"/>
    <sheet name="Staffing" sheetId="4" state="visible" r:id="rId6"/>
    <sheet name="Cost by Scope" sheetId="5" state="visible" r:id="rId7"/>
    <sheet name="CY2027 MVP" sheetId="6" state="visible" r:id="rId8"/>
    <sheet name="Phase plan" sheetId="7" state="visible" r:id="rId9"/>
    <sheet name="Gate tests" sheetId="8" state="visible" r:id="rId10"/>
    <sheet name="Affordability" sheetId="9" state="visible" r:id="rId11"/>
    <sheet name="Risk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<sst xmlns="http://schemas.openxmlformats.org/spreadsheetml/2006/main" count="779" uniqueCount="537">
  <si>
    <t xml:space="preserve">WA CIE — optimized delivery plan</t>
  </si>
  <si>
    <t xml:space="preserve">Joint Connect360 + WPCO response. Every cost on every sheet derives from B7/B8/B9. Blue = input. Yellow = replace before issue.</t>
  </si>
  <si>
    <t xml:space="preserve">LABOUR BASIS</t>
  </si>
  <si>
    <t xml:space="preserve">A1</t>
  </si>
  <si>
    <t xml:space="preserve">US-ONLY DELIVERY</t>
  </si>
  <si>
    <t xml:space="preserve">RFP Sec. 3.6.4: 'All services under the resulting contract, by the Contractor and any Subcontractors at any tier, must be performed within the United States or its territories.' NO OFFSHORE CONTENT IS PERMITTED. The prior estimate's 54.3% offshore blend is void for this bid.</t>
  </si>
  <si>
    <t xml:space="preserve">A2</t>
  </si>
  <si>
    <t xml:space="preserve">US territories allowed</t>
  </si>
  <si>
    <t xml:space="preserve">Puerto Rico and Guam are US territories and are the only legitimate low-cost lever. The mix in A5 assumes a US delivery centre in a lower-cost US location or territory.</t>
  </si>
  <si>
    <t xml:space="preserve">A3</t>
  </si>
  <si>
    <t xml:space="preserve">US delivery centre rate, $/FTE-month. ASSUMPTION - REPLACE WITH RATE CARD. No rate card has been supplied; the prior plan's rates were marked ILLUSTRATIVE.</t>
  </si>
  <si>
    <t xml:space="preserve">A4</t>
  </si>
  <si>
    <t xml:space="preserve">Onshore premium rate, $/FTE-month. From the prior plan's Assumptions tab, also marked ILLUSTRATIVE.</t>
  </si>
  <si>
    <t xml:space="preserve">A5</t>
  </si>
  <si>
    <t xml:space="preserve">Share of effort delivered from the US delivery centre. Key personnel, SMEs, architects and client-facing roles are onshore premium.</t>
  </si>
  <si>
    <t xml:space="preserve">A6</t>
  </si>
  <si>
    <t xml:space="preserve">Blended US rate, $/FTE-month. Computed: A5 x A3 + (1-A5) x A4.</t>
  </si>
  <si>
    <t xml:space="preserve">COMMERCIAL</t>
  </si>
  <si>
    <t xml:space="preserve">A7</t>
  </si>
  <si>
    <t xml:space="preserve">Target gross margin, blended across the five years. CY2027 carries a lower margin because it is the ceiling-constrained year; CY2028-31 carry more.</t>
  </si>
  <si>
    <t xml:space="preserve">A8</t>
  </si>
  <si>
    <t xml:space="preserve">CY2027 non-labour: Connect360 internal chargeback + Azure consumption + third-party assessor fees + travel (travel is inside the firm-fixed price per Sec. 3.6.4 and is not separately payable).</t>
  </si>
  <si>
    <t xml:space="preserve">A9</t>
  </si>
  <si>
    <t xml:space="preserve">CY2028-31 non-labour, per year, same components.</t>
  </si>
  <si>
    <t xml:space="preserve">SCOPE</t>
  </si>
  <si>
    <t xml:space="preserve">A10</t>
  </si>
  <si>
    <t xml:space="preserve">CIE, not payer</t>
  </si>
  <si>
    <t xml:space="preserve">The prior plan was built for a health payer. Zero occurrences of claims adjudication, 837/835, HCC/CDPS, DRG grouping, HEDIS, prior authorisation, CMS-0057-F or payer-to-payer exchange appear anywhere in the RFP, the ConOps or the 212 requirements. X12 appears once, as one of several payload formats an adapter must transform, with 'or equivalent' in the acceptance criterion.</t>
  </si>
  <si>
    <t xml:space="preserve">A11</t>
  </si>
  <si>
    <t xml:space="preserve">Connect360 is pre-existing</t>
  </si>
  <si>
    <t xml:space="preserve">The platform exists before contract signature. Washington pays for configuration, integration, implementation and operations - not for building it. This is both the commercial position and the only posture that keeps the offshore-built platform lawful under A1.</t>
  </si>
  <si>
    <t xml:space="preserve">A12</t>
  </si>
  <si>
    <t xml:space="preserve">Configuration case</t>
  </si>
  <si>
    <t xml:space="preserve">The plan below assumes six gate tests PASS (see Gate tests sheet). If they fail, the CY2027 scope is the construction case and it is $4.3M-$6.3M over the annual ceiling. The tests cost hours and decide $2,205,000.</t>
  </si>
  <si>
    <t xml:space="preserve">A13</t>
  </si>
  <si>
    <t xml:space="preserve">103 of 146 MVP</t>
  </si>
  <si>
    <t xml:space="preserve">103 functional requirements carry a Phase 1 / MVP tag, due 30 June 2027. The largest MVP family is referral management (15). Population-health analytics is named in writing as Phase 2. Client portal and event notification are Phase 3.</t>
  </si>
  <si>
    <t xml:space="preserve">A14</t>
  </si>
  <si>
    <t xml:space="preserve">All 66 NFRs are MVP</t>
  </si>
  <si>
    <t xml:space="preserve">RFP Sec. 3.5.1: the non-functional requirements are all included in the MVP. Security, consent segmentation, access control, audit, accessibility and performance cannot be phased. 99.5% API availability applies from MVP with no ramp.</t>
  </si>
  <si>
    <t xml:space="preserve">CONSTRAINTS TAKEN AS GIVEN</t>
  </si>
  <si>
    <t xml:space="preserve">A15</t>
  </si>
  <si>
    <t xml:space="preserve">Hard annual ceilings</t>
  </si>
  <si>
    <t xml:space="preserve">CY2027 $3.4M, CY2028 $3.4M, CY2029-31 $3.5M each. Exceeding an annual ceiling may be deemed nonresponsive and may not be scored.</t>
  </si>
  <si>
    <t xml:space="preserve">A16</t>
  </si>
  <si>
    <t xml:space="preserve">Two-year term</t>
  </si>
  <si>
    <t xml:space="preserve">Initial term 4 Jan 2027 - 4 Jan 2029. Three one-year renewals at Comagine's sole discretion; the Contractor has no right or expectation of renewal. CY2029-31 revenue is an option, not a commitment.</t>
  </si>
  <si>
    <t xml:space="preserve">A17</t>
  </si>
  <si>
    <t xml:space="preserve">Cost = 300 of 1000 points</t>
  </si>
  <si>
    <t xml:space="preserve">Scored as (lowest evaluated cost / ours) x 300 over the full five-year potential period. Every amortisation dollar is score loss.</t>
  </si>
  <si>
    <t xml:space="preserve">A18</t>
  </si>
  <si>
    <t xml:space="preserve">Certification gates go-live</t>
  </si>
  <si>
    <t xml:space="preserve">Current HITRUST and SOC 2 certifications plus vulnerability scan and penetration test reports are required BEFORE MVP launch and annually. Failure to pass WaTech's Security Design Review permits immediate termination at no cost to the state.</t>
  </si>
  <si>
    <t xml:space="preserve">A19</t>
  </si>
  <si>
    <t xml:space="preserve">Section 701 gates cash</t>
  </si>
  <si>
    <t xml:space="preserve">Milestone gates and budget approvals before future funds release, with withholding of payment as a named remedy. No advance or mobilisation payment provision exists in the RFP.</t>
  </si>
  <si>
    <t xml:space="preserve">A20</t>
  </si>
  <si>
    <t xml:space="preserve">Directory may be carved out</t>
  </si>
  <si>
    <t xml:space="preserve">Sec. 3.1: 'WA CIE is currently in discussions with a statewide directory partner to provide resource directory services.' Gate test G5.</t>
  </si>
  <si>
    <t xml:space="preserve">Revision log — every line of the payer plan, dispositioned</t>
  </si>
  <si>
    <t xml:space="preserve">KEEP = stays in MVP · MOVE = was scheduled later, now MVP · DEFER = later RFP phase · DELETE = no WA CIE buyer at any phase · ADD = not in the original plan</t>
  </si>
  <si>
    <t xml:space="preserve">Original plan activity</t>
  </si>
  <si>
    <t xml:space="preserve">Wave</t>
  </si>
  <si>
    <t xml:space="preserve">Wks</t>
  </si>
  <si>
    <t xml:space="preserve">Disposition</t>
  </si>
  <si>
    <t xml:space="preserve">New phase</t>
  </si>
  <si>
    <t xml:space="preserve">Reason</t>
  </si>
  <si>
    <t xml:space="preserve">Improve storyboard / demo pills / field collateral by persona</t>
  </si>
  <si>
    <t xml:space="preserve">W0</t>
  </si>
  <si>
    <t xml:space="preserve">MOVE</t>
  </si>
  <si>
    <t xml:space="preserve">Pre-award</t>
  </si>
  <si>
    <t xml:space="preserve">Becomes the 16-20 Nov 2026 demonstration - 350 of 1000 points, scenarios supplied by Comagine. Pre-award investment, not contract scope.</t>
  </si>
  <si>
    <t xml:space="preserve">Integrated data-spine design - canonical model, identity contract, FHIR profile, terminology</t>
  </si>
  <si>
    <t xml:space="preserve">W1</t>
  </si>
  <si>
    <t xml:space="preserve">KEEP</t>
  </si>
  <si>
    <t xml:space="preserve">CY2027</t>
  </si>
  <si>
    <t xml:space="preserve">Re-scoped to CIE: US Core + SDOHCC, no payer canonical claims model.</t>
  </si>
  <si>
    <t xml:space="preserve">Interface contracts + fixtures (Connect360 integration)</t>
  </si>
  <si>
    <t xml:space="preserve">Becomes the owned, versioned participant integration facade.</t>
  </si>
  <si>
    <t xml:space="preserve">Steel thread - ingest, conform, project graph, engines, agent wave, E2E</t>
  </si>
  <si>
    <t xml:space="preserve">Re-pointed at the CIE thread: intake, consent, identity, referral, directory, status.</t>
  </si>
  <si>
    <t xml:space="preserve">Integrate Connect360 EMPI over PIX / PDQ; matching, survivorship, steward workflow</t>
  </si>
  <si>
    <t xml:space="preserve">RED-UNVERIFIED. No $match, no PIX, no PDQ at the gateway; the EMPI rests on a verbal statement. Gate test G6.</t>
  </si>
  <si>
    <t xml:space="preserve">Terminology &amp; value-set load (ICD-10, CPT/HCPCS, LOINC, SNOMED, RxNorm, NDC, CVX, CDT, Gravity)</t>
  </si>
  <si>
    <t xml:space="preserve">REDUCE</t>
  </si>
  <si>
    <t xml:space="preserve">Payer code systems deleted. Retained: LOINC, SNOMED, Gravity/SDOHCC, AIRS taxonomy, referral reason codes.</t>
  </si>
  <si>
    <t xml:space="preserve">Source onboarding &amp; connectivity (SFTP/API/stream, trading partner, feed SLA)</t>
  </si>
  <si>
    <t xml:space="preserve">Becomes the 6-8 partner onboarding factory.</t>
  </si>
  <si>
    <t xml:space="preserve">Multi-format parse &amp; structural validation (X12 834/837/835/270-271/276-277/278, NCPDP, SNIP)</t>
  </si>
  <si>
    <t xml:space="preserve">DELETE</t>
  </si>
  <si>
    <t xml:space="preserve">-</t>
  </si>
  <si>
    <t xml:space="preserve">No claims adjudication anywhere in WA CIE scope. X12 appears once as a transform format with 'or equivalent' permitted.</t>
  </si>
  <si>
    <t xml:space="preserve">Raw land + provenance capture (per-record source attribution)</t>
  </si>
  <si>
    <t xml:space="preserve">IRREVERSIBLE. Provenance cannot be backfilled; RFP D7 requires lineage, stewardship and source-to-target mapping.</t>
  </si>
  <si>
    <t xml:space="preserve">Adapters - build the in-scope source set</t>
  </si>
  <si>
    <t xml:space="preserve">CIE sources: CCH and CBO systems, HMIS, clinical, MCO referral platforms. Not claims feeds.</t>
  </si>
  <si>
    <t xml:space="preserve">Corrections / voids / adjustments / late &amp; out-of-order handling</t>
  </si>
  <si>
    <t xml:space="preserve">Claims-lifecycle concern. No CIE analogue.</t>
  </si>
  <si>
    <t xml:space="preserve">Quarantine / DLQ + operator queues + reconciliation / control totals</t>
  </si>
  <si>
    <t xml:space="preserve">Retained at CIE volume; operator surface folded into the participant portal.</t>
  </si>
  <si>
    <t xml:space="preserve">Coding verification &amp; validation (validity for DOS, referential, business rules)</t>
  </si>
  <si>
    <t xml:space="preserve">Claims coding verification. No CIE buyer.</t>
  </si>
  <si>
    <t xml:space="preserve">Enrichment - grouping (HCC/CDPS+Rx, DRG/APR-DRG, episode) + ontology + SDOH index</t>
  </si>
  <si>
    <t xml:space="preserve">All groupers deleted. The SDOH index survives inside the Phase 2 analytics line.</t>
  </si>
  <si>
    <t xml:space="preserve">Load external quality results (HEDIS / Stars / MIPS) to Measure / MeasureReport</t>
  </si>
  <si>
    <t xml:space="preserve">Quality measurement is a payer function. No Measure resource requirement in WA CIE.</t>
  </si>
  <si>
    <t xml:space="preserve">Consent &amp; sensitivity labeling at conform (42 CFR Part 2, DS4P, minor consent)</t>
  </si>
  <si>
    <t xml:space="preserve">IRREVERSIBLE and the highest-value line in the plan. securityLabel must be written from the first record; relabelling history later is not feasible.</t>
  </si>
  <si>
    <t xml:space="preserve">FHIR conformance &amp; write to Connect360 (profiles, conditional-create, Provenance per write)</t>
  </si>
  <si>
    <t xml:space="preserve">Re-scoped to the CIE resource set.</t>
  </si>
  <si>
    <t xml:space="preserve">Data hosting / reprocessing layer</t>
  </si>
  <si>
    <t xml:space="preserve">Single hosted deployment, not a deployable asset.</t>
  </si>
  <si>
    <t xml:space="preserve">Graph domain model + ~30 domain mappings</t>
  </si>
  <si>
    <t xml:space="preserve">DEFER</t>
  </si>
  <si>
    <t xml:space="preserve">CY2029</t>
  </si>
  <si>
    <t xml:space="preserve">Reduced at MVP to the EDGE SET recorded in the record of truth - a design artifact, not a running store. The graph itself is a projection.</t>
  </si>
  <si>
    <t xml:space="preserve">Projection scaffolding against change-feed contract (emulator-driven)</t>
  </si>
  <si>
    <t xml:space="preserve">Do not build against an emulator and then again against reality. Replaced at MVP by the event-publication contract.</t>
  </si>
  <si>
    <t xml:space="preserve">Dual-backend abstraction + rebuild-from-repository</t>
  </si>
  <si>
    <t xml:space="preserve">Premature generality for one hosted deployment. The rebuild-from-repository PROPERTY is retained as a design rule and proved at Gate 1.</t>
  </si>
  <si>
    <t xml:space="preserve">Identity merge / unmerge propagation (from Connect360 EMPI events)</t>
  </si>
  <si>
    <t xml:space="preserve">IRREVERSIBLE and mis-filed as a graph concern. A destructive merge in a CIE discloses one client's record to another organisation and cannot be remediated.</t>
  </si>
  <si>
    <t xml:space="preserve">Graph population &amp; projection at breadth</t>
  </si>
  <si>
    <t xml:space="preserve">Hydrated by replaying the MVP event log.</t>
  </si>
  <si>
    <t xml:space="preserve">ADF pipelines, Databricks conform, write parity, parity validation</t>
  </si>
  <si>
    <t xml:space="preserve">W1 Sec</t>
  </si>
  <si>
    <t xml:space="preserve">$298,300. A reusable-asset hedge for Databricks-native payer clients. One state, one deployment, SaaS preferred by the RFP.</t>
  </si>
  <si>
    <t xml:space="preserve">Engine hardening design - contracts, off-fixture</t>
  </si>
  <si>
    <t xml:space="preserve">Retained only as the citizenEverything seam design.</t>
  </si>
  <si>
    <t xml:space="preserve">WPC intelligence engine - harden &amp; tune</t>
  </si>
  <si>
    <t xml:space="preserve">Read-path. Deferrable because it is a function of history - provided the history is recorded at MVP.</t>
  </si>
  <si>
    <t xml:space="preserve">Journey engine - harden &amp; tune</t>
  </si>
  <si>
    <t xml:space="preserve">Read-path. The temporal SPINE is recorded at MVP; the engine over it is later.</t>
  </si>
  <si>
    <t xml:space="preserve">Signal disposition engine - harden &amp; tune</t>
  </si>
  <si>
    <t xml:space="preserve">CY2030</t>
  </si>
  <si>
    <t xml:space="preserve">Read-path. The stable event-type vocabulary is fixed at MVP; C360's NotificationRule engine covers MVP dispositioning by configuration.</t>
  </si>
  <si>
    <t xml:space="preserve">Knowledge-graph scoring engine - harden &amp; tune</t>
  </si>
  <si>
    <t xml:space="preserve">Read-path.</t>
  </si>
  <si>
    <t xml:space="preserve">Governed agent runtime - harden initial wave (HITL)</t>
  </si>
  <si>
    <t xml:space="preserve">CY2031</t>
  </si>
  <si>
    <t xml:space="preserve">Two MVP seams only: domain verbs with recorded actor and reason, and a non-human actor representation in AuditEvent.</t>
  </si>
  <si>
    <t xml:space="preserve">Agentic orchestration seed - controller coordinates the initial agent wave</t>
  </si>
  <si>
    <t xml:space="preserve">RFP CC11 and RA09: any function must be completable without AI. Agents cannot be load-bearing for a scored capability.</t>
  </si>
  <si>
    <t xml:space="preserve">Consent policy governance</t>
  </si>
  <si>
    <t xml:space="preserve">SPLIT</t>
  </si>
  <si>
    <t xml:space="preserve">CY2027/28</t>
  </si>
  <si>
    <t xml:space="preserve">Mechanism at MVP; per-purpose, per-organisation and per-category POLICY AUTHORING is the named RFP Phase 2 'more granular consent'.</t>
  </si>
  <si>
    <t xml:space="preserve">Observability &amp; operator surfaces</t>
  </si>
  <si>
    <t xml:space="preserve">Retained at CIE scale.</t>
  </si>
  <si>
    <t xml:space="preserve">Configuration framework - measures, rules, benefit/eligibility, attribution, terminology</t>
  </si>
  <si>
    <t xml:space="preserve">Measures and benefit/eligibility deleted with the payer scope. Retained: rules, eligibility criteria, taxonomies.</t>
  </si>
  <si>
    <t xml:space="preserve">Multi-tenant isolation &amp; tenant onboarding</t>
  </si>
  <si>
    <t xml:space="preserve">RESHAPE</t>
  </si>
  <si>
    <t xml:space="preserve">GROWS. A CIE needs organisation as an authorization boundary with delegated org admin, and NO ROLE OR PERMISSION TYPE EXISTS in the 553 introspected types. IAM is a named MVP capability. Gate test G4.</t>
  </si>
  <si>
    <t xml:space="preserve">Infrastructure-as-code + environment provisioning (Azure)</t>
  </si>
  <si>
    <t xml:space="preserve">One hosted deployment, not a package other teams deploy.</t>
  </si>
  <si>
    <t xml:space="preserve">CI/CD pipelines + release packaging (deployable asset)</t>
  </si>
  <si>
    <t xml:space="preserve">Release pipeline retained; asset packaging deleted.</t>
  </si>
  <si>
    <t xml:space="preserve">Runbooks, install &amp; configuration guides, operator docs</t>
  </si>
  <si>
    <t xml:space="preserve">Becomes the M&amp;O Readiness plan, due in draft at least 90 days before operational acceptance.</t>
  </si>
  <si>
    <t xml:space="preserve">Deployment dry-run / reference install</t>
  </si>
  <si>
    <t xml:space="preserve">Becomes the WaTech Security Design Review and go-live rehearsal.</t>
  </si>
  <si>
    <t xml:space="preserve">Client implementation rows - liaisons, R1 deploy, consent/PHI enablement, EMPI tuning, ATO, glide path</t>
  </si>
  <si>
    <t xml:space="preserve">Client</t>
  </si>
  <si>
    <t xml:space="preserve">THESE ARE NOW THE CONTRACT. The prior plan called them 'off the asset critical path' and excluded them from the totals. Under WA CIE they are the paid work.</t>
  </si>
  <si>
    <t xml:space="preserve">v1 Risk stratification (HCC / CDPS RAF) + rising-risk cohorts</t>
  </si>
  <si>
    <t xml:space="preserve">W2</t>
  </si>
  <si>
    <t xml:space="preserve">Payer risk adjustment.</t>
  </si>
  <si>
    <t xml:space="preserve">v1 Care-gap surfacing on loaded measures + attribution</t>
  </si>
  <si>
    <t xml:space="preserve">Depends on the deleted Measure/HEDIS scope.</t>
  </si>
  <si>
    <t xml:space="preserve">v1 WPCO overview &amp; population dashboards</t>
  </si>
  <si>
    <t xml:space="preserve">CY2028</t>
  </si>
  <si>
    <t xml:space="preserve">RFP names population-level and equity insights as Phase 2 in writing.</t>
  </si>
  <si>
    <t xml:space="preserve">v1 Supporting agents - risk &amp; gap detection</t>
  </si>
  <si>
    <t xml:space="preserve">v2 Social-needs / SDOH index &amp; dashboards + regional / cohort views</t>
  </si>
  <si>
    <t xml:space="preserve">Folded into the Phase 2 population &amp; equity analytics line.</t>
  </si>
  <si>
    <t xml:space="preserve">v2 Population segmentation &amp; funnel</t>
  </si>
  <si>
    <t xml:space="preserve">v3 Total cost of care + outcomes linkage</t>
  </si>
  <si>
    <t xml:space="preserve">Payer financial analytics.</t>
  </si>
  <si>
    <t xml:space="preserve">v3 Executive dashboard + braided funding / shared-savings</t>
  </si>
  <si>
    <t xml:space="preserve">v1 Care-manager worklist + whole-person care plan</t>
  </si>
  <si>
    <t xml:space="preserve">W3</t>
  </si>
  <si>
    <t xml:space="preserve">The WORKLIST is MVP and sits inside the participant portal. The SHARED, MULTI-ORGANISATION CARE PLAN is RFP Phase 2 and needs element-level attribution designed at MVP.</t>
  </si>
  <si>
    <t xml:space="preserve">v1 Panel &amp; cohort + MD SMART launch (EMR-embedded)</t>
  </si>
  <si>
    <t xml:space="preserve">$506,250. EHR-embedded SMART launch is not a WA CIE MVP requirement; MVP partners are CBO and HMIS systems more than EHRs.</t>
  </si>
  <si>
    <t xml:space="preserve">v1 Supporting agents - care management</t>
  </si>
  <si>
    <t xml:space="preserve">v2 Episodes + care team &amp; specialist inbox</t>
  </si>
  <si>
    <t xml:space="preserve">Care team is MVP (inside the portal); episodes are later.</t>
  </si>
  <si>
    <t xml:space="preserve">v2 Universal task routing &amp; inbox</t>
  </si>
  <si>
    <t xml:space="preserve">Cross-organisation referral routing IS the MVP. 15 MVP requirements.</t>
  </si>
  <si>
    <t xml:space="preserve">v3 AI care plan depth + gain-share / shared-savings hooks</t>
  </si>
  <si>
    <t xml:space="preserve">AI care plan deferred to CY2031. Gain-share DELETED - payer scope.</t>
  </si>
  <si>
    <t xml:space="preserve">v3 Cross-team coordination &amp; escalation</t>
  </si>
  <si>
    <t xml:space="preserve">Cross-organisation escalation and SLA is MVP referral behaviour.</t>
  </si>
  <si>
    <t xml:space="preserve">v1 Referral tracking + referral journey tracker (7 stages + audit)</t>
  </si>
  <si>
    <t xml:space="preserve">W4</t>
  </si>
  <si>
    <t xml:space="preserve">THE LARGEST INVERSION. Scheduled at week 34-42 in the payer plan; it is the single largest MVP family in the RFP and must ship by 30 June 2027.</t>
  </si>
  <si>
    <t xml:space="preserve">v1 Care-gap closure &amp; verification - evidence chain</t>
  </si>
  <si>
    <t xml:space="preserve">Retained as referral closure with a provenance evidence chain. Care-GAP closure deleted with the measures scope.</t>
  </si>
  <si>
    <t xml:space="preserve">v2 Social-needs screening (PRAPARE) + program eligibility / benefit enrollment</t>
  </si>
  <si>
    <t xml:space="preserve">MVP. AHC-HRSN already runs live on Connect360, so this is largely configuration. Benefit ENROLMENT deleted.</t>
  </si>
  <si>
    <t xml:space="preserve">v2 CBO directory federated with state CIE (Gravity / 360X), closed-loop</t>
  </si>
  <si>
    <t xml:space="preserve">MVP capability. Subject to gate test G5 - the statewide directory partner may supply the corpus.</t>
  </si>
  <si>
    <t xml:space="preserve">v3 BH &amp; crisis pathway (988 / CSU / Mobile / ED + post-crisis linkage)</t>
  </si>
  <si>
    <t xml:space="preserve">Not in the MVP capability list.</t>
  </si>
  <si>
    <t xml:space="preserve">v3 Risk-adjustment coding gaps (RAF + CDPS) + quality-gap attribution</t>
  </si>
  <si>
    <t xml:space="preserve">Wave 5 - super-orchestration, live dispatch, agentic marketplace, family thread, agent ROI</t>
  </si>
  <si>
    <t xml:space="preserve">W5</t>
  </si>
  <si>
    <t xml:space="preserve">CY2030/31</t>
  </si>
  <si>
    <t xml:space="preserve">Partially fits CY2030-31. The marketplace, family thread and agent ROI reporting DO NOT FIT the five-year envelope at all.</t>
  </si>
  <si>
    <t xml:space="preserve">Engine learning &amp; feedback loop; agent policy tuning</t>
  </si>
  <si>
    <t xml:space="preserve">Improve</t>
  </si>
  <si>
    <t xml:space="preserve">CY2029+</t>
  </si>
  <si>
    <t xml:space="preserve">Requires outcome data that does not exist until after MVP.</t>
  </si>
  <si>
    <t xml:space="preserve">Programme governance &amp; delivery; continuous integration &amp; steel-thread harness</t>
  </si>
  <si>
    <t xml:space="preserve">Cross</t>
  </si>
  <si>
    <t xml:space="preserve">All years</t>
  </si>
  <si>
    <t xml:space="preserve">Becomes the 23 contract deliverables, bi-weekly plan updates, monthly reports and the RAID log.</t>
  </si>
  <si>
    <t xml:space="preserve">CMS-0057-F optional bucket</t>
  </si>
  <si>
    <t xml:space="preserve">Opt</t>
  </si>
  <si>
    <t xml:space="preserve">$545,050. A CIE is not an impacted payer under CMS-0057-F.</t>
  </si>
  <si>
    <t xml:space="preserve">Prior-Auth / Coverage / Financial Clearance optional bucket</t>
  </si>
  <si>
    <t xml:space="preserve">$1,004,750. Payer utilisation management.</t>
  </si>
  <si>
    <t xml:space="preserve">NEW SCOPE — not in the original plan</t>
  </si>
  <si>
    <t xml:space="preserve">Participant portal - worker-facing application</t>
  </si>
  <si>
    <t xml:space="preserve">ADD</t>
  </si>
  <si>
    <t xml:space="preserve">No worker UI exists in Connect360 - only API surface - and the prior staffing model contained NO front-end engineering role at all. RFP Sec. 3.2: the participant portal must be a fully supported participation option for organisations without connected systems. Gate test G3, the largest single swing in the plan.</t>
  </si>
  <si>
    <t xml:space="preserve">RBAC, roles, permissions and delegated organisation administration</t>
  </si>
  <si>
    <t xml:space="preserve">No role or permission type appears in the 553 introspected types. IAM is a named MVP capability area with 10 MVP requirements.</t>
  </si>
  <si>
    <t xml:space="preserve">Owned, versioned participant integration facade</t>
  </si>
  <si>
    <t xml:space="preserve">Do not make another vendor's internal schema the State of Washington's public integration contract. Four of the six utilization models are integration models.</t>
  </si>
  <si>
    <t xml:space="preserve">Domain-verb mutations + statewide reason-code vocabulary</t>
  </si>
  <si>
    <t xml:space="preserve">Task mutations are generic CRUD. Across a federation of independent organisations that guarantees drift and makes the standardised-reason requirement unenforceable. Must land BEFORE the first partner integrates.</t>
  </si>
  <si>
    <t xml:space="preserve">Read-side reporting projection (CQRS)</t>
  </si>
  <si>
    <t xml:space="preserve">The proxy blocks _total=accurate and _summary=count, so no aggregate is answerable from the FHIR path. Reporting &amp; analytics is a named MVP capability and RFP D5 requires documented separation of operational and reporting functions.</t>
  </si>
  <si>
    <t xml:space="preserve">Event publication contract - stable types, idempotency, ordering, 3-5 subscriptions</t>
  </si>
  <si>
    <t xml:space="preserve">THE KEYSTONE. The event log is the only artifact that cannot be reconstructed later. It is what makes the graph, the journey engine and the analytics layer deferrable rather than lost.</t>
  </si>
  <si>
    <t xml:space="preserve">citizenEverything composite resolver</t>
  </si>
  <si>
    <t xml:space="preserve">Nine resolvers fan out N+1 on the most-loaded screen. This one seam is what lets every engine arrive later with no partner-facing change.</t>
  </si>
  <si>
    <t xml:space="preserve">Certification: HITRUST r2, SOC 2 Type II, penetration test, WaTech SDR + PTA</t>
  </si>
  <si>
    <t xml:space="preserve">Contractual pre-condition of MVP launch with an immediate-termination trigger. Sized and EXCLUDED from the prior estimate. Gate test G2.</t>
  </si>
  <si>
    <t xml:space="preserve">Accessibility - 508 / WCAG 2.1 AA, VPAT / ACR production, remediation</t>
  </si>
  <si>
    <t xml:space="preserve">Absent from the entire prior pack. All 66 NFRs are MVP and WaTech accessibility standards are mandatory and non-negotiable.</t>
  </si>
  <si>
    <t xml:space="preserve">Section 1557 language access and translation enablement</t>
  </si>
  <si>
    <t xml:space="preserve">Absent from the prior pack. Named in the RFP's equity and accessibility expectations.</t>
  </si>
  <si>
    <t xml:space="preserve">Tribal and IHS data sovereignty handling and governance</t>
  </si>
  <si>
    <t xml:space="preserve">RESTORED. Withdrawn from the prior estimate as 'geography-specific'. The RFP requires compliance with applicable federal, state, TRIBAL and program requirements. Washington has 29 federally recognised tribes.</t>
  </si>
  <si>
    <t xml:space="preserve">Directory federation adapter + content-loading toolkit</t>
  </si>
  <si>
    <t xml:space="preserve">RESTORED in changed form. Withdrawn from the prior estimate as 'per-deployment content'; the resource directory is a named MVP capability. Gate test G5.</t>
  </si>
  <si>
    <t xml:space="preserve">WA CIE — Work Breakdown (Gantt), CY2027 MVP</t>
  </si>
  <si>
    <t xml:space="preserve">Contract start 4 Jan 2027 = week 1. MVP go-live 30 June 2027 = week 26. Weeks axis. Tier 1 and Tier 2 must COMPLETE before partner onboarding begins — once 6-8 organisations hold production integrations against a surface it cannot be taken away. The certification lane runs from week 1 because HITRUST r2 is not a 25-week path.</t>
  </si>
  <si>
    <t xml:space="preserve">Activity</t>
  </si>
  <si>
    <t xml:space="preserve">Tier</t>
  </si>
  <si>
    <t xml:space="preserve">FTE-mo</t>
  </si>
  <si>
    <t xml:space="preserve">Identity — stable CIE ID, source-ID retention, non-destructive merge/unmerge, link history, stewardship queue</t>
  </si>
  <si>
    <t xml:space="preserve">T1</t>
  </si>
  <si>
    <t xml:space="preserve">Consent — provision shape, enforcement verification, revoke-not-delete, securityLabel on write</t>
  </si>
  <si>
    <t xml:space="preserve">Provenance per write, cross-org read audit, retention &amp; legal hold, non-human actor</t>
  </si>
  <si>
    <t xml:space="preserve">RBAC &amp; delegated organisation administration</t>
  </si>
  <si>
    <t xml:space="preserve">Event log — stable type vocabulary, idempotency, ordering, 3-5 subscriptions exposed</t>
  </si>
  <si>
    <t xml:space="preserve">Owned versioned integration facade (US Core + SDOHCC)</t>
  </si>
  <si>
    <t xml:space="preserve">T2</t>
  </si>
  <si>
    <t xml:space="preserve">MILESTONE — contract surfaces frozen; partner onboarding may begin</t>
  </si>
  <si>
    <t xml:space="preserve">◆</t>
  </si>
  <si>
    <t xml:space="preserve">Conform &amp; write — CIE source set (profiles, conditional-create, Provenance)</t>
  </si>
  <si>
    <t xml:space="preserve">T3</t>
  </si>
  <si>
    <t xml:space="preserve">citizenEverything composite resolver (tenant-scoped, consent-filtered)</t>
  </si>
  <si>
    <t xml:space="preserve">Read-side reporting projection + operational counts + participant extract</t>
  </si>
  <si>
    <t xml:space="preserve">Participant portal — extend the existing Connect360 portal to worker roles</t>
  </si>
  <si>
    <t xml:space="preserve">Directory federation adapter (statewide partner supplies the corpus)</t>
  </si>
  <si>
    <t xml:space="preserve">Referral management configuration &amp; cross-organisation workflow</t>
  </si>
  <si>
    <t xml:space="preserve">HRSN screening configuration (AHC-HRSN already live)</t>
  </si>
  <si>
    <t xml:space="preserve">Accessibility — 508 / WCAG 2.1 AA, VPAT / ACR, remediation</t>
  </si>
  <si>
    <t xml:space="preserve">T4</t>
  </si>
  <si>
    <t xml:space="preserve">Tribal &amp; IHS data sovereignty handling and governance</t>
  </si>
  <si>
    <t xml:space="preserve">Certification — HITRUST / SOC 2 evidence, penetration test, WaTech SDR + PTA</t>
  </si>
  <si>
    <t xml:space="preserve">NB</t>
  </si>
  <si>
    <t xml:space="preserve">MILESTONE — WaTech Security Design Review passed (gates all HCA data)</t>
  </si>
  <si>
    <t xml:space="preserve">Partner integration &amp; onboarding factory (6-8 interoperability partners)</t>
  </si>
  <si>
    <t xml:space="preserve">Programme management, governance, 23 deliverables, RAID, reporting cadence</t>
  </si>
  <si>
    <t xml:space="preserve">MILESTONE — MVP GO-LIVE (30 June 2027)</t>
  </si>
  <si>
    <t xml:space="preserve">Operations &amp; tier-2/3 support (Comagine owns tier 1)</t>
  </si>
  <si>
    <t xml:space="preserve">MILESTONE — end of MVP implementation period (go-live + 60 days)</t>
  </si>
  <si>
    <t xml:space="preserve">CY2027 TOTAL</t>
  </si>
  <si>
    <t xml:space="preserve">LEGEND</t>
  </si>
  <si>
    <t xml:space="preserve">T1  Irreversible — the write path.  T2  Contract surfaces.  T3  MVP product.  T4  Compliance engineering.  NB  Non-build (certification, onboarding, PM, operations).</t>
  </si>
  <si>
    <t xml:space="preserve">Weeks 27-34 continue into H2 2027; CY2028-31 activity is on the Phase plan sheet.</t>
  </si>
  <si>
    <t xml:space="preserve">DELETED from the prior payer plan and therefore absent here: claims / X12 / NCPDP spine, corrections and voids, coding verification, HCC/CDPS and DRG groupers, HEDIS load, total cost of care, gain-share, CMS-0057-F, prior authorisation, Epic/Cerner SMART launch, the ADF / Databricks secondary path, and the deployable-asset packaging. See the Revision log sheet for the full disposition of every original line.</t>
  </si>
  <si>
    <t xml:space="preserve">WA CIE — Staffing by Role, CY2027</t>
  </si>
  <si>
    <t xml:space="preserve">US-ONLY delivery (RFP Sec. 3.6.4). Key Personnel named in RFP Table 4 are onshore premium and carry hard minimum qualifications. Costs are shown at the blended rate from Assumptions because no role-level rate card has been supplied; the Location column states the intended mix.</t>
  </si>
  <si>
    <t xml:space="preserve">Role</t>
  </si>
  <si>
    <t xml:space="preserve">Key Personnel (RFP Table 4)</t>
  </si>
  <si>
    <t xml:space="preserve">Delivery location</t>
  </si>
  <si>
    <t xml:space="preserve">FTE-months</t>
  </si>
  <si>
    <t xml:space="preserve">Cost at blended rate</t>
  </si>
  <si>
    <t xml:space="preserve">Notes</t>
  </si>
  <si>
    <t xml:space="preserve">Engagement / programme lead</t>
  </si>
  <si>
    <t xml:space="preserve">Program Manager</t>
  </si>
  <si>
    <t xml:space="preserve">Onshore premium</t>
  </si>
  <si>
    <t xml:space="preserve">3 yrs in last 5 leading a comparable health or human-services program team</t>
  </si>
  <si>
    <t xml:space="preserve">Delivery / project manager</t>
  </si>
  <si>
    <t xml:space="preserve">Project Manager</t>
  </si>
  <si>
    <t xml:space="preserve">3 yrs in last 5 managing comparable delivery with iterative experience</t>
  </si>
  <si>
    <t xml:space="preserve">Product manager</t>
  </si>
  <si>
    <t xml:space="preserve">Product Manager</t>
  </si>
  <si>
    <t xml:space="preserve">5 yrs owning product direction for a configurable or SaaS solution</t>
  </si>
  <si>
    <t xml:space="preserve">Solution architect / technical lead</t>
  </si>
  <si>
    <t xml:space="preserve">Technical Lead / Architect</t>
  </si>
  <si>
    <t xml:space="preserve">7 yrs interoperable solution architecture; FHIR, HL7 or Gravity; WaTech conformance</t>
  </si>
  <si>
    <t xml:space="preserve">Multi-sector interoperability SME</t>
  </si>
  <si>
    <t xml:space="preserve">Multi-Sector Interop SME</t>
  </si>
  <si>
    <t xml:space="preserve">5 yrs cross-sector exchange; bidirectional partner connections and interface governance</t>
  </si>
  <si>
    <t xml:space="preserve">Data architect / identity lead</t>
  </si>
  <si>
    <t xml:space="preserve">Data Architect / Data Eng Lead</t>
  </si>
  <si>
    <t xml:space="preserve">5 yrs PII/PHI at scale; identity resolution, record linkage, consent-specific access</t>
  </si>
  <si>
    <t xml:space="preserve">Security &amp; compliance lead</t>
  </si>
  <si>
    <t xml:space="preserve">Certification lane, WaTech SDR, Privacy Threshold Analysis, annual recertification</t>
  </si>
  <si>
    <t xml:space="preserve">Social-care / CIE domain SME</t>
  </si>
  <si>
    <t xml:space="preserve">HRSN screening, referral practice, CBO and CCH workflow</t>
  </si>
  <si>
    <t xml:space="preserve">Accessibility specialist</t>
  </si>
  <si>
    <t xml:space="preserve">508 / WCAG 2.1 AA conformance, VPAT / ACR production</t>
  </si>
  <si>
    <t xml:space="preserve">Tribal liaison / policy SME</t>
  </si>
  <si>
    <t xml:space="preserve">Tribal and IHS data sovereignty; 29 federally recognised tribes in Washington</t>
  </si>
  <si>
    <t xml:space="preserve">FHIR / conform engineer</t>
  </si>
  <si>
    <t xml:space="preserve">US delivery centre</t>
  </si>
  <si>
    <t xml:space="preserve">Profiles, conditional-create, provenance, domain verbs, integration facade</t>
  </si>
  <si>
    <t xml:space="preserve">Data / integration engineer</t>
  </si>
  <si>
    <t xml:space="preserve">Source connectivity, conform pipeline, read-side projection, partner onboarding</t>
  </si>
  <si>
    <t xml:space="preserve">Front-end / application engineer</t>
  </si>
  <si>
    <t xml:space="preserve">NEW ROLE — the prior staffing model contained no front-end engineering role at all</t>
  </si>
  <si>
    <t xml:space="preserve">QA / test engineer</t>
  </si>
  <si>
    <t xml:space="preserve">Functional, regression, accessibility and partner integration testing</t>
  </si>
  <si>
    <t xml:space="preserve">Platform / DevSecOps engineer</t>
  </si>
  <si>
    <t xml:space="preserve">Environments, CI/CD, observability, release</t>
  </si>
  <si>
    <t xml:space="preserve">UX / product designer</t>
  </si>
  <si>
    <t xml:space="preserve">Worker-facing portal, consent capture, referral workflow</t>
  </si>
  <si>
    <t xml:space="preserve">Test / conformance &amp; DQ engineer</t>
  </si>
  <si>
    <t xml:space="preserve">Profile binding verification, consent enforcement matrix, data-quality rules</t>
  </si>
  <si>
    <t xml:space="preserve">Delivery-location mix check</t>
  </si>
  <si>
    <t xml:space="preserve">Derived from the role plan. Compare with assumption A5 on the Assumptions sheet; a variance of more than two points means the role plan and the rate assumption disagree.</t>
  </si>
  <si>
    <t xml:space="preserve">NO OFFSHORE CONTENT. RFP Sec. 3.6.4: all services, by the Contractor and any Subcontractors at any tier, must be performed within the United States or its territories. Work performed outside the US without prior written approval is a material breach and may result in termination.</t>
  </si>
  <si>
    <t xml:space="preserve">Puerto Rico and Guam are US territories and are the only legitimate low-cost lever. The US delivery centre rate is an ASSUMPTION pending the rate card.</t>
  </si>
  <si>
    <t xml:space="preserve">Every individual proposed as Key Personnel needs a resume submitted with Submittal Form B and must meet the stated minimum qualifications.</t>
  </si>
  <si>
    <t xml:space="preserve">WA CIE — Effort &amp; Cost by Scope</t>
  </si>
  <si>
    <t xml:space="preserve">One rate basis, US-only. CY2027 reconciles to the CY2027 MVP sheet and to Staffing. CY2028-31 are scoped to each year's ceiling. Renewal years are options at Comagine's sole discretion, not commitments.</t>
  </si>
  <si>
    <t xml:space="preserve">Scope</t>
  </si>
  <si>
    <t xml:space="preserve">Labour cost</t>
  </si>
  <si>
    <t xml:space="preserve">Non-labour</t>
  </si>
  <si>
    <t xml:space="preserve">Delivered cost</t>
  </si>
  <si>
    <t xml:space="preserve">Price at target margin</t>
  </si>
  <si>
    <t xml:space="preserve">Annual ceiling</t>
  </si>
  <si>
    <t xml:space="preserve">CY2027 — MVP to 30 June 2027 (committed term)</t>
  </si>
  <si>
    <t xml:space="preserve">CY2028 — Phase 2 (committed term)</t>
  </si>
  <si>
    <t xml:space="preserve">CY2029 — Phase 3 (renewal option 1)</t>
  </si>
  <si>
    <t xml:space="preserve">CY2030 — Phase 3 continued (renewal option 2)</t>
  </si>
  <si>
    <t xml:space="preserve">CY2031 — maturation (renewal option 3)</t>
  </si>
  <si>
    <t xml:space="preserve">COMMITTED TERM (CY2027-28)</t>
  </si>
  <si>
    <t xml:space="preserve">FULL POTENTIAL PERIOD (CY2027-31) — the Evaluated Cost basis</t>
  </si>
  <si>
    <t xml:space="preserve">Headroom against the five-year envelope</t>
  </si>
  <si>
    <t xml:space="preserve">CY2027 headroom against its own ceiling</t>
  </si>
  <si>
    <t xml:space="preserve">EXCLUDED FROM THE ABOVE</t>
  </si>
  <si>
    <t xml:space="preserve">Client-facing portal  [RFP Phase 3]</t>
  </si>
  <si>
    <t xml:space="preserve">Agentic marketplace &amp; orchestration at scale</t>
  </si>
  <si>
    <t xml:space="preserve">Household / family thread &amp; caregiver intelligence</t>
  </si>
  <si>
    <t xml:space="preserve">Agent impact &amp; agentic ROI reporting</t>
  </si>
  <si>
    <t xml:space="preserve">Does not fit the five-year envelope at all</t>
  </si>
  <si>
    <t xml:space="preserve">DELETED — no WA CIE buyer at any phase. Named value $2,354,350: Prior-Auth / Coverage / Financial Clearance $1,004,750 · CMS-0057-F $545,050 · Epic / Cerner SMART launch + CDS Hooks $506,250 · ADF / Databricks secondary path $298,300. Plus the claims / X12 / NCPDP spine, HCC/CDPS and DRG groupers, HEDIS load, total cost of care and gain-share, and the deployable-asset packaging.</t>
  </si>
  <si>
    <t xml:space="preserve">Evaluated Cost is defined twice in RFP Sec. 5.7 — three components in one version, four in the other, with Year-1 recurring counted both on its own and inside the five-year total. Submit a written clarification before 9 October; it is free and it moves the cost score.</t>
  </si>
  <si>
    <t xml:space="preserve">Exceeding an applicable annual funding ceiling may be deemed nonresponsive and may not be scored.</t>
  </si>
  <si>
    <t xml:space="preserve">CY2027 — MVP to 30 June 2027 · CONFIGURATION CASE</t>
  </si>
  <si>
    <t xml:space="preserve">Assumes all six gate tests pass. If they fail this becomes the construction case at 184.5 FTE-months — $4.3M to $6.3M over the annual ceiling.</t>
  </si>
  <si>
    <t xml:space="preserve">Workstream</t>
  </si>
  <si>
    <t xml:space="preserve">Cost</t>
  </si>
  <si>
    <t xml:space="preserve">Note</t>
  </si>
  <si>
    <t xml:space="preserve">TIER 1 — IRREVERSIBLE. Cannot be retrofitted; these are the write path.</t>
  </si>
  <si>
    <t xml:space="preserve">A capability is safely deferrable if and only if it can be reconstructed from what MVP wrote down. Everything here is write-path: a fact not captured cannot be recovered later. This tier is what makes the graph, the engines and the agents deferrable rather than lost.</t>
  </si>
  <si>
    <t xml:space="preserve">   Identity: configure matching, stewardship queue, NON-DESTRUCTIVE merge/unmerge with link history</t>
  </si>
  <si>
    <t xml:space="preserve">   Consent: policy configuration, enforcement verification, revoke-not-delete fix, securityLabel on write</t>
  </si>
  <si>
    <t xml:space="preserve">   Provenance per write, cross-org read audit, retention &amp; legal hold, non-human actor representation</t>
  </si>
  <si>
    <t xml:space="preserve">   RBAC &amp; delegated organisation administration</t>
  </si>
  <si>
    <t xml:space="preserve">   Event log: stable type vocabulary, idempotency contract, ordering, 3-5 subscriptions exposed</t>
  </si>
  <si>
    <t xml:space="preserve">TIER 2 — CONTRACT SURFACES. Must land before the first partner integrates.</t>
  </si>
  <si>
    <t xml:space="preserve">Once 6-8 independent organisations hold production integrations against a surface, it cannot be taken away. These are politically irreversible, not technically.</t>
  </si>
  <si>
    <t xml:space="preserve">   Owned, versioned integration facade (FHIR REST profiled to US Core + SDOHCC)</t>
  </si>
  <si>
    <t xml:space="preserve">   Domain-verb mutations for Task / ServiceRequest + statewide reason-code vocabulary</t>
  </si>
  <si>
    <t xml:space="preserve">TIER 3 — THE MVP PRODUCT. 103 of 146 functional requirements, due 30 June 2027.</t>
  </si>
  <si>
    <t xml:space="preserve">Referral management is the largest MVP family at 15 requirements — the line the payer plan scheduled at week 34-42.</t>
  </si>
  <si>
    <t xml:space="preserve">   Participant portal — EXTEND the existing Connect360 portal to worker roles</t>
  </si>
  <si>
    <t xml:space="preserve">   Read-side reporting projection + 6-10 operational counts + participant extract</t>
  </si>
  <si>
    <t xml:space="preserve">   Conform &amp; write — CIE source set (profiles, conditional-create, Provenance)</t>
  </si>
  <si>
    <t xml:space="preserve">   citizenEverything composite resolver (tenant-scoped, consent-filtered)</t>
  </si>
  <si>
    <t xml:space="preserve">   Directory federation adapter (statewide partner supplies the corpus)</t>
  </si>
  <si>
    <t xml:space="preserve">   Referral management configuration &amp; cross-organisation workflow</t>
  </si>
  <si>
    <t xml:space="preserve">   HRSN screening configuration (AHC-HRSN already live on Connect360)</t>
  </si>
  <si>
    <t xml:space="preserve">TIER 4 — COMPLIANCE ENGINEERING. Absent from the prior plan entirely.</t>
  </si>
  <si>
    <t xml:space="preserve">All 66 non-functional requirements are MVP. WaTech standards are mandatory and non-negotiable.</t>
  </si>
  <si>
    <t xml:space="preserve">   Accessibility: 508 / WCAG 2.1 AA conformance, VPAT / ACR production, remediation</t>
  </si>
  <si>
    <t xml:space="preserve">   Tribal &amp; IHS data sovereignty handling and governance</t>
  </si>
  <si>
    <t xml:space="preserve">NON-BUILD — the work that is actually paid for under this contract.</t>
  </si>
  <si>
    <t xml:space="preserve">The prior plan called these rows 'off the asset critical path' and excluded them from the totals. Under WA CIE they ARE the contract.</t>
  </si>
  <si>
    <t xml:space="preserve">   Certification: evidence assembly, penetration test, WaTech SDR + Privacy Threshold Analysis</t>
  </si>
  <si>
    <t xml:space="preserve">   Partner integration &amp; onboarding factory (6-8 interoperability partners)</t>
  </si>
  <si>
    <t xml:space="preserve">   Programme management, governance participation, 23 deliverables, RAID, reporting cadence</t>
  </si>
  <si>
    <t xml:space="preserve">   Operations &amp; tier-2/3 support (~5 months of CY2027; Comagine owns tier 1)</t>
  </si>
  <si>
    <t xml:space="preserve">TOTAL</t>
  </si>
  <si>
    <t xml:space="preserve">Sequencing rule: Tier 1 and Tier 2 start week 1 and must complete before partner onboarding begins. Tier 3 follows. The certification lane runs in parallel from week 1 — HITRUST r2 is not a 25-week path, which is why gate test G2 decides whether this plan is deliverable at all.</t>
  </si>
  <si>
    <t xml:space="preserve">Five-year phase plan, right-sized to the annual ceilings</t>
  </si>
  <si>
    <t xml:space="preserve">Each year is scoped to what that year's ceiling can fund at the target margin — not to the wish list.</t>
  </si>
  <si>
    <t xml:space="preserve">CY</t>
  </si>
  <si>
    <t xml:space="preserve">Price</t>
  </si>
  <si>
    <t xml:space="preserve">Ceiling</t>
  </si>
  <si>
    <t xml:space="preserve">Headroom</t>
  </si>
  <si>
    <t xml:space="preserve">MVP — see the CY2027 MVP sheet (configuration case)</t>
  </si>
  <si>
    <t xml:space="preserve">CY2027 total</t>
  </si>
  <si>
    <t xml:space="preserve">Operations, tier-2/3 support, PM, annual recertification</t>
  </si>
  <si>
    <t xml:space="preserve">Next partner cohort onboarding</t>
  </si>
  <si>
    <t xml:space="preserve">Granular consent policy authoring  [RFP Phase 2]</t>
  </si>
  <si>
    <t xml:space="preserve">Shared collaborative care plan, element-level attribution  [RFP Phase 2]</t>
  </si>
  <si>
    <t xml:space="preserve">Population &amp; equity analytics over the full MVP history  [RFP Phase 2]</t>
  </si>
  <si>
    <t xml:space="preserve">CY2028 total</t>
  </si>
  <si>
    <t xml:space="preserve">Operations, support, PM, recertification</t>
  </si>
  <si>
    <t xml:space="preserve">Event notification ingest / parse / exchange  [RFP Phase 3]</t>
  </si>
  <si>
    <t xml:space="preserve">Knowledge graph as a projection — hydrated by REPLAYING the MVP event log</t>
  </si>
  <si>
    <t xml:space="preserve">Journey engine v1 — deterministic timeline over the recorded temporal spine</t>
  </si>
  <si>
    <t xml:space="preserve">WPC context ranking, behind the citizenEverything seam — no partner-facing change</t>
  </si>
  <si>
    <t xml:space="preserve">CY2029 total</t>
  </si>
  <si>
    <t xml:space="preserve">Real-time dispatch + signal dispositioning engine</t>
  </si>
  <si>
    <t xml:space="preserve">Graph inference, scoring, household &amp; family linkage</t>
  </si>
  <si>
    <t xml:space="preserve">Enrollment verification + remaining change subscriptions</t>
  </si>
  <si>
    <t xml:space="preserve">Directory stewardship model</t>
  </si>
  <si>
    <t xml:space="preserve">CY2030 total</t>
  </si>
  <si>
    <t xml:space="preserve">Governed agents (HITL) over the MVP domain verbs &amp; actor model</t>
  </si>
  <si>
    <t xml:space="preserve">Care-plan intelligence</t>
  </si>
  <si>
    <t xml:space="preserve">Forecasting &amp; equity monitoring</t>
  </si>
  <si>
    <t xml:space="preserve">Advanced consent interoperability with external networks</t>
  </si>
  <si>
    <t xml:space="preserve">CY2031 total</t>
  </si>
  <si>
    <t xml:space="preserve">FIVE-YEAR TOTAL</t>
  </si>
  <si>
    <t xml:space="preserve">DOES NOT FIT THE FIVE-YEAR ENVELOPE AT ALL — needs another funding source or falls away</t>
  </si>
  <si>
    <t xml:space="preserve">Excluded total</t>
  </si>
  <si>
    <t xml:space="preserve">Stated plainly: the full WPCO vision does not fit inside the WA CIE envelope even across five fully-phased years. The engines and the graph arrive; the agentic marketplace, the household thread and the client-facing portal do not. If they matter, they need a second funding source — which is the argument for a pipeline, not for loading them into this bid.</t>
  </si>
  <si>
    <t xml:space="preserve">Six tests decide $2.2M of CY2027 scope. None costs more than a day.</t>
  </si>
  <si>
    <t xml:space="preserve">Run these BEFORE the cost proposal is priced. Each one moves the plan between the configuration case and the construction case.</t>
  </si>
  <si>
    <t xml:space="preserve">Gate</t>
  </si>
  <si>
    <t xml:space="preserve">The question</t>
  </si>
  <si>
    <t xml:space="preserve">Cost to answer</t>
  </si>
  <si>
    <t xml:space="preserve">Decides</t>
  </si>
  <si>
    <t xml:space="preserve">Config FTE-mo</t>
  </si>
  <si>
    <t xml:space="preserve">Construct FTE-mo</t>
  </si>
  <si>
    <t xml:space="preserve">Swing FTE-mo</t>
  </si>
  <si>
    <t xml:space="preserve">Swing $</t>
  </si>
  <si>
    <t xml:space="preserve">If it fails</t>
  </si>
  <si>
    <t xml:space="preserve">G3</t>
  </si>
  <si>
    <t xml:space="preserve">Can the existing Connect360 portal be extended to worker roles, or is a new worker application required?</t>
  </si>
  <si>
    <t xml:space="preserve">Repo review + staff-scoped demo</t>
  </si>
  <si>
    <t xml:space="preserve">Participant portal</t>
  </si>
  <si>
    <t xml:space="preserve">The largest single number in the plan. No worker UI has ever been observed and the prior staffing model contained no front-end engineering role at all. A new build is 26 FTE-months of front-end at ONE concurrent engineer, which is the floor and not the estimate.</t>
  </si>
  <si>
    <t xml:space="preserve">G2</t>
  </si>
  <si>
    <t xml:space="preserve">Does Connect360 hold current HITRUST r2 and SOC 2 Type II certifications?</t>
  </si>
  <si>
    <t xml:space="preserve">One call</t>
  </si>
  <si>
    <t xml:space="preserve">Certification lane</t>
  </si>
  <si>
    <t xml:space="preserve">Certification is a contractual pre-condition of MVP launch with an immediate-termination trigger. HITRUST r2 from a standing start is 9-18 months; contract start to MVP is 25 weeks. If the answer is no, this bid needs a certified partner or it cannot be delivered.</t>
  </si>
  <si>
    <t xml:space="preserve">G5</t>
  </si>
  <si>
    <t xml:space="preserve">Is the resource directory carved out to the statewide directory partner?</t>
  </si>
  <si>
    <t xml:space="preserve">Written question to Comagine by 9 October</t>
  </si>
  <si>
    <t xml:space="preserve">Directory</t>
  </si>
  <si>
    <t xml:space="preserve">Sec. 3.1 says Comagine is in discussions with a statewide directory partner. If carved out we federate; if not we own corpus sourcing and curation, which is an operation, not code.</t>
  </si>
  <si>
    <t xml:space="preserve">G4</t>
  </si>
  <si>
    <t xml:space="preserve">Does a role / permission model with delegated organisation administration exist?</t>
  </si>
  <si>
    <t xml:space="preserve">Schema review</t>
  </si>
  <si>
    <t xml:space="preserve">RBAC &amp; delegated admin</t>
  </si>
  <si>
    <t xml:space="preserve">No role or permission type appears in the 553 introspected types. IAM is a named MVP capability area with 10 MVP requirements and, in a CIE, delegated admin is customer-facing.</t>
  </si>
  <si>
    <t xml:space="preserve">G6</t>
  </si>
  <si>
    <t xml:space="preserve">Does matchPerson / resolveIdentity exist behind the gateway, and can it be fronted?</t>
  </si>
  <si>
    <t xml:space="preserve">Identity resolution</t>
  </si>
  <si>
    <t xml:space="preserve">There is no $match, no PIX and no PDQ at the gateway, and the EMPI's existence rests on a verbal statement. Client identity management is a named MVP capability and identity is the state's own number-one current-state gap.</t>
  </si>
  <si>
    <t xml:space="preserve">G1</t>
  </si>
  <si>
    <t xml:space="preserve">Is provision.securityLabel enforced at QUERY time, not just stored?</t>
  </si>
  <si>
    <t xml:space="preserve">One hour</t>
  </si>
  <si>
    <t xml:space="preserve">Consent enforcement</t>
  </si>
  <si>
    <t xml:space="preserve">Write a Consent with a securityLabel, query as a principal outside the provision, see whether the resource is withheld. If it is not, the pipeline writes labels nothing enforces — which is worse than no labelling, because the security representation is carried into the WaTech Security Design Review.</t>
  </si>
  <si>
    <t xml:space="preserve">TOTAL DECIDED BY SIX TESTS</t>
  </si>
  <si>
    <t xml:space="preserve">What $3,400,000 actually buys in CY2027</t>
  </si>
  <si>
    <t xml:space="preserve">Gross margin is the lever that decides whether the configuration case fits. The construction case does not fit at any margin.</t>
  </si>
  <si>
    <t xml:space="preserve">Construction-case effort, CY2027 (FTE-months), used in column D:</t>
  </si>
  <si>
    <t xml:space="preserve">Gross margin</t>
  </si>
  <si>
    <t xml:space="preserve">Configuration case price</t>
  </si>
  <si>
    <t xml:space="preserve">Headroom vs ceiling</t>
  </si>
  <si>
    <t xml:space="preserve">Construction case price</t>
  </si>
  <si>
    <t xml:space="preserve">Gap vs ceiling</t>
  </si>
  <si>
    <t xml:space="preserve">Affordable effort (FTE-mo)</t>
  </si>
  <si>
    <t xml:space="preserve">READ THIS ROW BY ROW.</t>
  </si>
  <si>
    <t xml:space="preserve">The configuration case fits CY2027 at roughly 7% gross margin and is about $108,000 over at 10%. That is a real, closeable gap — three FTE-months of scope, or a thinner year-one margin recovered in CY2028-31 where there is headroom.</t>
  </si>
  <si>
    <t xml:space="preserve">The construction case is $4.3M to $6.3M over the CY2027 ceiling at every margin tested. There is no pricing structure that recovers it. Exceeding an annual ceiling may be deemed nonresponsive and may not be scored.</t>
  </si>
  <si>
    <t xml:space="preserve">Two structural facts behind these numbers, both from the RFP:</t>
  </si>
  <si>
    <t xml:space="preserve">Sec. 3.6.4 — all services must be performed within the United States or its territories. The prior estimate's 54.3% offshore blend is void. At 100% onshore premium the prior committed number rises from $5,093,845 to $8,023,500 and Position B from $6,316,265 to $10,573,650.</t>
  </si>
  <si>
    <t xml:space="preserve">Evaluated Cost is defined twice in Sec. 5.7, once with three components and once with four — and in the four-component version Year-1 M&amp;O and subscription are counted separately AND inside the full five-year recurring total. Recurring dollars are scored roughly twice, which penalises amortising a platform into subscription at about 2x relative to loading it into implementation milestones. Submit a written clarification; it is free and it moves the score.</t>
  </si>
  <si>
    <t xml:space="preserve">Open risks carried into the bid</t>
  </si>
  <si>
    <t xml:space="preserve">Each one is named, owned and either priced or explicitly excluded. Nothing here is a surprise after signature.</t>
  </si>
  <si>
    <t xml:space="preserve">Risk</t>
  </si>
  <si>
    <t xml:space="preserve">Exposure</t>
  </si>
  <si>
    <t xml:space="preserve">Mitigation / what retires it</t>
  </si>
  <si>
    <t xml:space="preserve">No rate card. Both labour rates are ASSUMPTIONS; the prior plan's rates were marked ILLUSTRATIVE and that caveat has now been live across three document versions.</t>
  </si>
  <si>
    <t xml:space="preserve">Whole model</t>
  </si>
  <si>
    <t xml:space="preserve">Get the real US rate card with a vintage and a named delivery-centre location before the cost proposal is priced. Until then every figure here is directional.</t>
  </si>
  <si>
    <t xml:space="preserve">Certification not held. HITRUST r2 and SOC 2 Type II are a pre-condition of MVP launch with an immediate-termination trigger.</t>
  </si>
  <si>
    <t xml:space="preserve">8 FTE-mo, and deliverability</t>
  </si>
  <si>
    <t xml:space="preserve">Gate test G2. If Connect360 does not hold them, team with a partner who does — that decision changes Submittal Form A and cannot wait.</t>
  </si>
  <si>
    <t xml:space="preserve">Consent enforcement unproven. The provision model exists; query-time enforcement has never been tested.</t>
  </si>
  <si>
    <t xml:space="preserve">4.5 FTE-mo + the security representation</t>
  </si>
  <si>
    <t xml:space="preserve">Gate test G1. One hour. Run it before pricing.</t>
  </si>
  <si>
    <t xml:space="preserve">No worker application observed anywhere in Connect360 — only API surface.</t>
  </si>
  <si>
    <t xml:space="preserve">27 FTE-mo</t>
  </si>
  <si>
    <t xml:space="preserve">Gate test G3. The single largest swing in the plan.</t>
  </si>
  <si>
    <t xml:space="preserve">Three MVP capabilities depend on another IBM organisation's unscheduled backlog: the composite resolver, 21 unexposed change subscriptions, and matchPerson / resolveIdentity.</t>
  </si>
  <si>
    <t xml:space="preserve">Schedule + credit</t>
  </si>
  <si>
    <t xml:space="preserve">Written commitment with dates from the connect360-saas org, or price them as owned. Consuming NATS directly bypasses the proxy, which is the sole enforcer of tenant isolation — so there is no safe workaround.</t>
  </si>
  <si>
    <t xml:space="preserve">Two-year term against a five-year plan. CY2029-31 are options at Comagine's sole discretion.</t>
  </si>
  <si>
    <t xml:space="preserve">$10.5M of the envelope</t>
  </si>
  <si>
    <t xml:space="preserve">Build the investment case on CY2027-28 only. If it does not clear on $6.8M gross, it does not clear.</t>
  </si>
  <si>
    <t xml:space="preserve">Section 701 gated funding. Milestone gates and budget approvals before funds release; no advance or mobilisation payment exists in the RFP.</t>
  </si>
  <si>
    <t xml:space="preserve">Working capital across H1 2027</t>
  </si>
  <si>
    <t xml:space="preserve">Decompose CY2027 into 8-12 acceptance milestones weighted toward design, SDR pass, environment provisioning and per-partner acceptance. Negotiate subscription billing from environment provisioning rather than go-live.</t>
  </si>
  <si>
    <t xml:space="preserve">Cost is 300 of 1000 points on a lowest-price ratio, against a hard annual ceiling.</t>
  </si>
  <si>
    <t xml:space="preserve">Up to 88 points</t>
  </si>
  <si>
    <t xml:space="preserve">Price the deployment and the operations, not a platform build. Every amortisation dollar is score loss.</t>
  </si>
  <si>
    <t xml:space="preserve">MVP date is fixed at 30 June 2027 with 6-8 partner integrations. Integration volume is not a variable that can be phased.</t>
  </si>
  <si>
    <t xml:space="preserve">Schedule</t>
  </si>
  <si>
    <t xml:space="preserve">The onboarding factory in CY2027 is sized at 10 FTE-months for 6-8 partners. Comparable procurements run $60-90k fully loaded per partner; this is the line most often under-estimated by half.</t>
  </si>
  <si>
    <t xml:space="preserve">Tribal and IHS data sovereignty was withdrawn from the prior estimate as geography-specific.</t>
  </si>
  <si>
    <t xml:space="preserve">Compliance</t>
  </si>
  <si>
    <t xml:space="preserve">RESTORED at 1.5 FTE-months. Washington has 29 federally recognised tribes and the RFP requires compliance with applicable Tribal requirements.</t>
  </si>
  <si>
    <t xml:space="preserve">Accessibility and Section 1557 language access were absent from the prior pack entirely.</t>
  </si>
  <si>
    <t xml:space="preserve">Compliance + rework</t>
  </si>
  <si>
    <t xml:space="preserve">Designed in at 3.0 FTE-months. Retrofitted accessibility across worker surfaces runs 3-5x the cost of designed-in.</t>
  </si>
  <si>
    <t xml:space="preserve">Non-labour costs are only partly modelled: Connect360 internal chargeback, Azure consumption, assessor fees and travel are in; terminology licensing, HISP fees and AIRS membership are not.</t>
  </si>
  <si>
    <t xml:space="preserve">Unquantified</t>
  </si>
  <si>
    <t xml:space="preserve">Build the non-labour register before the cost proposal. The two-rate-cell model is structurally incapable of representing them.</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</si>
</sst>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0\);\-"/>
    <numFmt numFmtId="168" formatCode="\$#,##0;&quot;($&quot;#,##0\);\-"/>
    <numFmt numFmtId="169" formatCode="#,##0.0;\(#,##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b val="true"/>
      <sz val="10"/>
      <color rgb="FF0000FF"/>
      <name val="Arial"/>
      <family val="0"/>
      <charset val="1"/>
    </font>
    <font>
      <sz val="10"/>
      <name val="Arial"/>
      <family val="0"/>
      <charset val="1"/>
    </font>
    <font>
      <b val="true"/>
      <sz val="11"/>
      <color rgb="FFFFFFFF"/>
      <name val="Arial"/>
      <family val="0"/>
      <charset val="1"/>
    </font>
    <font>
      <b val="true"/>
      <sz val="10"/>
      <color rgb="FFC00000"/>
      <name val="Arial"/>
      <family val="0"/>
      <charset val="1"/>
    </font>
    <font>
      <b val="true"/>
      <sz val="10"/>
      <color rgb="FFFFFFFF"/>
      <name val="Arial"/>
      <family val="0"/>
      <charset val="1"/>
    </font>
    <font>
      <b val="true"/>
      <sz val="8"/>
      <color rgb="FFFFFFFF"/>
      <name val="Arial"/>
      <family val="0"/>
      <charset val="1"/>
    </font>
    <font>
      <sz val="9"/>
      <name val="Arial"/>
      <family val="0"/>
      <charset val="1"/>
    </font>
    <font>
      <sz val="10"/>
      <color rgb="FF0000FF"/>
      <name val="Arial"/>
      <family val="0"/>
      <charset val="1"/>
    </font>
  </fonts>
  <fills count="14">
    <fill>
      <patternFill patternType="none"/>
    </fill>
    <fill>
      <patternFill patternType="gray125"/>
    </fill>
    <fill>
      <patternFill patternType="solid">
        <fgColor rgb="FFD9E2F3"/>
        <bgColor rgb="FFE2EFDA"/>
      </patternFill>
    </fill>
    <fill>
      <patternFill patternType="solid">
        <fgColor rgb="FFFFFF00"/>
        <bgColor rgb="FFFFFF00"/>
      </patternFill>
    </fill>
    <fill>
      <patternFill patternType="solid">
        <fgColor rgb="FF1F3864"/>
        <bgColor rgb="FF102A43"/>
      </patternFill>
    </fill>
    <fill>
      <patternFill patternType="solid">
        <fgColor rgb="FFE2EFDA"/>
        <bgColor rgb="FFF2F2F2"/>
      </patternFill>
    </fill>
    <fill>
      <patternFill patternType="solid">
        <fgColor rgb="FFF2F2F2"/>
        <bgColor rgb="FFE2EFDA"/>
      </patternFill>
    </fill>
    <fill>
      <patternFill patternType="solid">
        <fgColor rgb="FFFCE4D6"/>
        <bgColor rgb="FFF2F2F2"/>
      </patternFill>
    </fill>
    <fill>
      <patternFill patternType="solid">
        <fgColor rgb="FF188977"/>
        <bgColor rgb="FF339966"/>
      </patternFill>
    </fill>
    <fill>
      <patternFill patternType="solid">
        <fgColor rgb="FF176B87"/>
        <bgColor rgb="FF188977"/>
      </patternFill>
    </fill>
    <fill>
      <patternFill patternType="solid">
        <fgColor rgb="FF102A43"/>
        <bgColor rgb="FF1F3864"/>
      </patternFill>
    </fill>
    <fill>
      <patternFill patternType="solid">
        <fgColor rgb="FF0F4AB4"/>
        <bgColor rgb="FF333399"/>
      </patternFill>
    </fill>
    <fill>
      <patternFill patternType="solid">
        <fgColor rgb="FF6157A6"/>
        <bgColor rgb="FF595959"/>
      </patternFill>
    </fill>
    <fill>
      <patternFill patternType="solid">
        <fgColor rgb="FFD59B2D"/>
        <bgColor rgb="FFFF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center" vertical="center"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2" fillId="4" borderId="0" xfId="0" applyFont="true" applyBorder="fals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8" fontId="6" fillId="2"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7" fontId="14" fillId="5" borderId="1" xfId="0" applyFont="true" applyBorder="true" applyAlignment="false" applyProtection="false">
      <alignment horizontal="general" vertical="bottom" textRotation="0" wrapText="false" indent="0" shrinkToFit="false"/>
      <protection locked="true" hidden="false"/>
    </xf>
    <xf numFmtId="168" fontId="0" fillId="5" borderId="1" xfId="0" applyFont="false" applyBorder="true" applyAlignment="false" applyProtection="false">
      <alignment horizontal="general" vertical="bottom" textRotation="0" wrapText="false" indent="0" shrinkToFit="false"/>
      <protection locked="true" hidden="false"/>
    </xf>
    <xf numFmtId="167" fontId="6" fillId="5" borderId="1" xfId="0" applyFont="true" applyBorder="true" applyAlignment="false" applyProtection="false">
      <alignment horizontal="general" vertical="bottom" textRotation="0" wrapText="false" indent="0" shrinkToFit="false"/>
      <protection locked="true" hidden="false"/>
    </xf>
    <xf numFmtId="168" fontId="6" fillId="5" borderId="1" xfId="0" applyFont="true" applyBorder="tru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8" fontId="6" fillId="7"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7" fontId="14" fillId="7" borderId="1" xfId="0" applyFont="true" applyBorder="true" applyAlignment="false" applyProtection="false">
      <alignment horizontal="general" vertical="bottom" textRotation="0" wrapText="false" indent="0" shrinkToFit="false"/>
      <protection locked="true" hidden="false"/>
    </xf>
    <xf numFmtId="168" fontId="0" fillId="7" borderId="1" xfId="0" applyFont="fals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9" fontId="14"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9" fontId="6" fillId="5" borderId="1" xfId="0" applyFont="true" applyBorder="true" applyAlignment="tru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9" fontId="14" fillId="7" borderId="1" xfId="0" applyFont="true" applyBorder="true" applyAlignment="true" applyProtection="false">
      <alignment horizontal="general" vertical="bottom" textRotation="0" wrapText="false" indent="0" shrinkToFit="false"/>
      <protection locked="true" hidden="false"/>
    </xf>
    <xf numFmtId="165" fontId="0" fillId="7" borderId="1" xfId="0" applyFont="false" applyBorder="true" applyAlignment="tru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6" fontId="14" fillId="0" borderId="1" xfId="0" applyFont="true" applyBorder="true" applyAlignment="true" applyProtection="false">
      <alignment horizontal="general" vertical="bottom" textRotation="0" wrapText="false" indent="0" shrinkToFit="false"/>
      <protection locked="true" hidden="false"/>
    </xf>
    <xf numFmtId="169" fontId="0" fillId="0" borderId="1" xfId="0" applyFont="false" applyBorder="true" applyAlignment="true" applyProtection="false">
      <alignment horizontal="general" vertical="bottom" textRotation="0" wrapText="false" indent="0" shrinkToFit="false"/>
      <protection locked="true" hidden="false"/>
    </xf>
    <xf numFmtId="166" fontId="14" fillId="3" borderId="1" xfId="0" applyFont="tru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bottom" textRotation="0" wrapText="false" indent="0" shrinkToFit="false"/>
      <protection locked="true" hidden="false"/>
    </xf>
    <xf numFmtId="169" fontId="0" fillId="3" borderId="1"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88977"/>
      <rgbColor rgb="FFBFBFBF"/>
      <rgbColor rgb="FF595959"/>
      <rgbColor rgb="FF9999FF"/>
      <rgbColor rgb="FF993366"/>
      <rgbColor rgb="FFF2F2F2"/>
      <rgbColor rgb="FFCCFFFF"/>
      <rgbColor rgb="FF660066"/>
      <rgbColor rgb="FFFF8080"/>
      <rgbColor rgb="FF0F4AB4"/>
      <rgbColor rgb="FFD9E2F3"/>
      <rgbColor rgb="FF000080"/>
      <rgbColor rgb="FFFF00FF"/>
      <rgbColor rgb="FFFFFF00"/>
      <rgbColor rgb="FF00FFFF"/>
      <rgbColor rgb="FF800080"/>
      <rgbColor rgb="FF800000"/>
      <rgbColor rgb="FF176B87"/>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D59B2D"/>
      <rgbColor rgb="FFFF6600"/>
      <rgbColor rgb="FF6157A6"/>
      <rgbColor rgb="FF969696"/>
      <rgbColor rgb="FF102A43"/>
      <rgbColor rgb="FF339966"/>
      <rgbColor rgb="FF003300"/>
      <rgbColor rgb="FF333300"/>
      <rgbColor rgb="FF993300"/>
      <rgbColor rgb="FF993366"/>
      <rgbColor rgb="FF33339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0"/>
    <col collapsed="false" customWidth="true" hidden="false" outlineLevel="0" max="3" min="3" style="1" width="104"/>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c r="B4" s="4" t="s">
        <v>2</v>
      </c>
      <c r="C4" s="5"/>
    </row>
    <row r="5" customFormat="false" ht="36" hidden="false" customHeight="true" outlineLevel="0" collapsed="false">
      <c r="A5" s="6" t="s">
        <v>3</v>
      </c>
      <c r="B5" s="7" t="s">
        <v>4</v>
      </c>
      <c r="C5" s="8" t="s">
        <v>5</v>
      </c>
    </row>
    <row r="6" customFormat="false" ht="24" hidden="false" customHeight="true" outlineLevel="0" collapsed="false">
      <c r="A6" s="6" t="s">
        <v>6</v>
      </c>
      <c r="B6" s="7" t="s">
        <v>7</v>
      </c>
      <c r="C6" s="8" t="s">
        <v>8</v>
      </c>
    </row>
    <row r="7" customFormat="false" ht="24" hidden="false" customHeight="true" outlineLevel="0" collapsed="false">
      <c r="A7" s="6" t="s">
        <v>9</v>
      </c>
      <c r="B7" s="9" t="n">
        <v>30000</v>
      </c>
      <c r="C7" s="8" t="s">
        <v>10</v>
      </c>
    </row>
    <row r="8" customFormat="false" ht="13.5" hidden="false" customHeight="true" outlineLevel="0" collapsed="false">
      <c r="A8" s="6" t="s">
        <v>11</v>
      </c>
      <c r="B8" s="9" t="n">
        <v>45000</v>
      </c>
      <c r="C8" s="8" t="s">
        <v>12</v>
      </c>
    </row>
    <row r="9" customFormat="false" ht="24" hidden="false" customHeight="true" outlineLevel="0" collapsed="false">
      <c r="A9" s="6" t="s">
        <v>13</v>
      </c>
      <c r="B9" s="10" t="n">
        <v>0.55</v>
      </c>
      <c r="C9" s="8" t="s">
        <v>14</v>
      </c>
    </row>
    <row r="10" customFormat="false" ht="13.5" hidden="false" customHeight="true" outlineLevel="0" collapsed="false">
      <c r="A10" s="6" t="s">
        <v>15</v>
      </c>
      <c r="B10" s="11" t="n">
        <f aca="false">Assumptions!$B$9*Assumptions!$B$7+(1-Assumptions!$B$9)*Assumptions!$B$8</f>
        <v>36750</v>
      </c>
      <c r="C10" s="8" t="s">
        <v>16</v>
      </c>
    </row>
    <row r="11" customFormat="false" ht="15" hidden="false" customHeight="true" outlineLevel="0" collapsed="false">
      <c r="A11" s="4"/>
      <c r="B11" s="4" t="s">
        <v>17</v>
      </c>
      <c r="C11" s="5"/>
    </row>
    <row r="12" customFormat="false" ht="24" hidden="false" customHeight="true" outlineLevel="0" collapsed="false">
      <c r="A12" s="6" t="s">
        <v>18</v>
      </c>
      <c r="B12" s="10" t="n">
        <v>0.1</v>
      </c>
      <c r="C12" s="8" t="s">
        <v>19</v>
      </c>
    </row>
    <row r="13" customFormat="false" ht="24" hidden="false" customHeight="true" outlineLevel="0" collapsed="false">
      <c r="A13" s="6" t="s">
        <v>20</v>
      </c>
      <c r="B13" s="12" t="n">
        <v>530000</v>
      </c>
      <c r="C13" s="8" t="s">
        <v>21</v>
      </c>
    </row>
    <row r="14" customFormat="false" ht="13.5" hidden="false" customHeight="true" outlineLevel="0" collapsed="false">
      <c r="A14" s="6" t="s">
        <v>22</v>
      </c>
      <c r="B14" s="12" t="n">
        <v>480000</v>
      </c>
      <c r="C14" s="8" t="s">
        <v>23</v>
      </c>
    </row>
    <row r="15" customFormat="false" ht="15" hidden="false" customHeight="true" outlineLevel="0" collapsed="false">
      <c r="A15" s="4"/>
      <c r="B15" s="4" t="s">
        <v>24</v>
      </c>
      <c r="C15" s="5"/>
    </row>
    <row r="16" customFormat="false" ht="48" hidden="false" customHeight="true" outlineLevel="0" collapsed="false">
      <c r="A16" s="6" t="s">
        <v>25</v>
      </c>
      <c r="B16" s="7" t="s">
        <v>26</v>
      </c>
      <c r="C16" s="8" t="s">
        <v>27</v>
      </c>
    </row>
    <row r="17" customFormat="false" ht="36" hidden="false" customHeight="true" outlineLevel="0" collapsed="false">
      <c r="A17" s="6" t="s">
        <v>28</v>
      </c>
      <c r="B17" s="7" t="s">
        <v>29</v>
      </c>
      <c r="C17" s="8" t="s">
        <v>30</v>
      </c>
    </row>
    <row r="18" customFormat="false" ht="36" hidden="false" customHeight="true" outlineLevel="0" collapsed="false">
      <c r="A18" s="6" t="s">
        <v>31</v>
      </c>
      <c r="B18" s="7" t="s">
        <v>32</v>
      </c>
      <c r="C18" s="8" t="s">
        <v>33</v>
      </c>
    </row>
    <row r="19" customFormat="false" ht="36" hidden="false" customHeight="true" outlineLevel="0" collapsed="false">
      <c r="A19" s="6" t="s">
        <v>34</v>
      </c>
      <c r="B19" s="7" t="s">
        <v>35</v>
      </c>
      <c r="C19" s="8" t="s">
        <v>36</v>
      </c>
    </row>
    <row r="20" customFormat="false" ht="36" hidden="false" customHeight="true" outlineLevel="0" collapsed="false">
      <c r="A20" s="6" t="s">
        <v>37</v>
      </c>
      <c r="B20" s="7" t="s">
        <v>38</v>
      </c>
      <c r="C20" s="8" t="s">
        <v>39</v>
      </c>
    </row>
    <row r="21" customFormat="false" ht="15" hidden="false" customHeight="true" outlineLevel="0" collapsed="false">
      <c r="A21" s="4"/>
      <c r="B21" s="4" t="s">
        <v>40</v>
      </c>
      <c r="C21" s="5"/>
    </row>
    <row r="22" customFormat="false" ht="24" hidden="false" customHeight="true" outlineLevel="0" collapsed="false">
      <c r="A22" s="6" t="s">
        <v>41</v>
      </c>
      <c r="B22" s="7" t="s">
        <v>42</v>
      </c>
      <c r="C22" s="8" t="s">
        <v>43</v>
      </c>
    </row>
    <row r="23" customFormat="false" ht="24" hidden="false" customHeight="true" outlineLevel="0" collapsed="false">
      <c r="A23" s="6" t="s">
        <v>44</v>
      </c>
      <c r="B23" s="7" t="s">
        <v>45</v>
      </c>
      <c r="C23" s="8" t="s">
        <v>46</v>
      </c>
    </row>
    <row r="24" customFormat="false" ht="24" hidden="false" customHeight="true" outlineLevel="0" collapsed="false">
      <c r="A24" s="6" t="s">
        <v>47</v>
      </c>
      <c r="B24" s="7" t="s">
        <v>48</v>
      </c>
      <c r="C24" s="8" t="s">
        <v>49</v>
      </c>
    </row>
    <row r="25" customFormat="false" ht="36" hidden="false" customHeight="true" outlineLevel="0" collapsed="false">
      <c r="A25" s="6" t="s">
        <v>50</v>
      </c>
      <c r="B25" s="7" t="s">
        <v>51</v>
      </c>
      <c r="C25" s="8" t="s">
        <v>52</v>
      </c>
    </row>
    <row r="26" customFormat="false" ht="24" hidden="false" customHeight="true" outlineLevel="0" collapsed="false">
      <c r="A26" s="6" t="s">
        <v>53</v>
      </c>
      <c r="B26" s="7" t="s">
        <v>54</v>
      </c>
      <c r="C26" s="8" t="s">
        <v>55</v>
      </c>
    </row>
    <row r="27" customFormat="false" ht="24" hidden="false" customHeight="true" outlineLevel="0" collapsed="false">
      <c r="A27" s="6" t="s">
        <v>56</v>
      </c>
      <c r="B27" s="7" t="s">
        <v>57</v>
      </c>
      <c r="C27" s="8"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8"/>
    <col collapsed="false" customWidth="true" hidden="false" outlineLevel="0" max="2" min="2" style="1" width="10"/>
    <col collapsed="false" customWidth="true" hidden="false" outlineLevel="0" max="3" min="3" style="1" width="7"/>
    <col collapsed="false" customWidth="true" hidden="false" outlineLevel="0" max="4" min="4" style="1" width="13"/>
    <col collapsed="false" customWidth="true" hidden="false" outlineLevel="0" max="5" min="5" style="1" width="12"/>
    <col collapsed="false" customWidth="true" hidden="false" outlineLevel="0" max="6" min="6" style="1" width="86"/>
  </cols>
  <sheetData>
    <row r="1" customFormat="false" ht="17.25" hidden="false" customHeight="true" outlineLevel="0" collapsed="false">
      <c r="A1" s="2" t="s">
        <v>59</v>
      </c>
    </row>
    <row r="2" customFormat="false" ht="15" hidden="false" customHeight="true" outlineLevel="0" collapsed="false">
      <c r="A2" s="3" t="s">
        <v>60</v>
      </c>
    </row>
    <row r="4" customFormat="false" ht="31.5" hidden="false" customHeight="true" outlineLevel="0" collapsed="false">
      <c r="A4" s="13" t="s">
        <v>61</v>
      </c>
      <c r="B4" s="13" t="s">
        <v>62</v>
      </c>
      <c r="C4" s="13" t="s">
        <v>63</v>
      </c>
      <c r="D4" s="13" t="s">
        <v>64</v>
      </c>
      <c r="E4" s="13" t="s">
        <v>65</v>
      </c>
      <c r="F4" s="13" t="s">
        <v>66</v>
      </c>
    </row>
    <row r="5" customFormat="false" ht="25.5" hidden="false" customHeight="true" outlineLevel="0" collapsed="false">
      <c r="A5" s="14" t="s">
        <v>67</v>
      </c>
      <c r="B5" s="15" t="s">
        <v>68</v>
      </c>
      <c r="C5" s="15" t="n">
        <v>10</v>
      </c>
      <c r="D5" s="16" t="s">
        <v>69</v>
      </c>
      <c r="E5" s="15" t="s">
        <v>70</v>
      </c>
      <c r="F5" s="14" t="s">
        <v>71</v>
      </c>
    </row>
    <row r="6" customFormat="false" ht="25.5" hidden="false" customHeight="true" outlineLevel="0" collapsed="false">
      <c r="A6" s="14" t="s">
        <v>72</v>
      </c>
      <c r="B6" s="15" t="s">
        <v>73</v>
      </c>
      <c r="C6" s="15" t="n">
        <v>3</v>
      </c>
      <c r="D6" s="17" t="s">
        <v>74</v>
      </c>
      <c r="E6" s="15" t="s">
        <v>75</v>
      </c>
      <c r="F6" s="14" t="s">
        <v>76</v>
      </c>
    </row>
    <row r="7" customFormat="false" ht="25.5" hidden="false" customHeight="true" outlineLevel="0" collapsed="false">
      <c r="A7" s="14" t="s">
        <v>77</v>
      </c>
      <c r="B7" s="15" t="s">
        <v>73</v>
      </c>
      <c r="C7" s="15" t="n">
        <v>3</v>
      </c>
      <c r="D7" s="17" t="s">
        <v>74</v>
      </c>
      <c r="E7" s="15" t="s">
        <v>75</v>
      </c>
      <c r="F7" s="14" t="s">
        <v>78</v>
      </c>
    </row>
    <row r="8" customFormat="false" ht="25.5" hidden="false" customHeight="true" outlineLevel="0" collapsed="false">
      <c r="A8" s="14" t="s">
        <v>79</v>
      </c>
      <c r="B8" s="15" t="s">
        <v>73</v>
      </c>
      <c r="C8" s="15" t="n">
        <v>18</v>
      </c>
      <c r="D8" s="17" t="s">
        <v>74</v>
      </c>
      <c r="E8" s="15" t="s">
        <v>75</v>
      </c>
      <c r="F8" s="14" t="s">
        <v>80</v>
      </c>
    </row>
    <row r="9" customFormat="false" ht="25.5" hidden="false" customHeight="true" outlineLevel="0" collapsed="false">
      <c r="A9" s="14" t="s">
        <v>81</v>
      </c>
      <c r="B9" s="15" t="s">
        <v>73</v>
      </c>
      <c r="C9" s="15" t="n">
        <v>11</v>
      </c>
      <c r="D9" s="17" t="s">
        <v>74</v>
      </c>
      <c r="E9" s="15" t="s">
        <v>75</v>
      </c>
      <c r="F9" s="14" t="s">
        <v>82</v>
      </c>
    </row>
    <row r="10" customFormat="false" ht="25.5" hidden="false" customHeight="true" outlineLevel="0" collapsed="false">
      <c r="A10" s="14" t="s">
        <v>83</v>
      </c>
      <c r="B10" s="15" t="s">
        <v>73</v>
      </c>
      <c r="C10" s="15" t="n">
        <v>8</v>
      </c>
      <c r="D10" s="17" t="s">
        <v>84</v>
      </c>
      <c r="E10" s="15" t="s">
        <v>75</v>
      </c>
      <c r="F10" s="14" t="s">
        <v>85</v>
      </c>
    </row>
    <row r="11" customFormat="false" ht="25.5" hidden="false" customHeight="true" outlineLevel="0" collapsed="false">
      <c r="A11" s="14" t="s">
        <v>86</v>
      </c>
      <c r="B11" s="15" t="s">
        <v>73</v>
      </c>
      <c r="C11" s="15" t="n">
        <v>7</v>
      </c>
      <c r="D11" s="17" t="s">
        <v>74</v>
      </c>
      <c r="E11" s="15" t="s">
        <v>75</v>
      </c>
      <c r="F11" s="14" t="s">
        <v>87</v>
      </c>
    </row>
    <row r="12" customFormat="false" ht="25.5" hidden="false" customHeight="true" outlineLevel="0" collapsed="false">
      <c r="A12" s="14" t="s">
        <v>88</v>
      </c>
      <c r="B12" s="15" t="s">
        <v>73</v>
      </c>
      <c r="C12" s="15" t="n">
        <v>9</v>
      </c>
      <c r="D12" s="18" t="s">
        <v>89</v>
      </c>
      <c r="E12" s="15" t="s">
        <v>90</v>
      </c>
      <c r="F12" s="14" t="s">
        <v>91</v>
      </c>
    </row>
    <row r="13" customFormat="false" ht="25.5" hidden="false" customHeight="true" outlineLevel="0" collapsed="false">
      <c r="A13" s="14" t="s">
        <v>92</v>
      </c>
      <c r="B13" s="15" t="s">
        <v>73</v>
      </c>
      <c r="C13" s="15" t="n">
        <v>5</v>
      </c>
      <c r="D13" s="17" t="s">
        <v>74</v>
      </c>
      <c r="E13" s="15" t="s">
        <v>75</v>
      </c>
      <c r="F13" s="14" t="s">
        <v>93</v>
      </c>
    </row>
    <row r="14" customFormat="false" ht="25.5" hidden="false" customHeight="true" outlineLevel="0" collapsed="false">
      <c r="A14" s="14" t="s">
        <v>94</v>
      </c>
      <c r="B14" s="15" t="s">
        <v>73</v>
      </c>
      <c r="C14" s="15" t="n">
        <v>13</v>
      </c>
      <c r="D14" s="17" t="s">
        <v>84</v>
      </c>
      <c r="E14" s="15" t="s">
        <v>75</v>
      </c>
      <c r="F14" s="14" t="s">
        <v>95</v>
      </c>
    </row>
    <row r="15" customFormat="false" ht="25.5" hidden="false" customHeight="true" outlineLevel="0" collapsed="false">
      <c r="A15" s="14" t="s">
        <v>96</v>
      </c>
      <c r="B15" s="15" t="s">
        <v>73</v>
      </c>
      <c r="C15" s="15" t="n">
        <v>9</v>
      </c>
      <c r="D15" s="18" t="s">
        <v>89</v>
      </c>
      <c r="E15" s="15" t="s">
        <v>90</v>
      </c>
      <c r="F15" s="14" t="s">
        <v>97</v>
      </c>
    </row>
    <row r="16" customFormat="false" ht="25.5" hidden="false" customHeight="true" outlineLevel="0" collapsed="false">
      <c r="A16" s="14" t="s">
        <v>98</v>
      </c>
      <c r="B16" s="15" t="s">
        <v>73</v>
      </c>
      <c r="C16" s="15" t="n">
        <v>11</v>
      </c>
      <c r="D16" s="17" t="s">
        <v>84</v>
      </c>
      <c r="E16" s="15" t="s">
        <v>75</v>
      </c>
      <c r="F16" s="14" t="s">
        <v>99</v>
      </c>
    </row>
    <row r="17" customFormat="false" ht="25.5" hidden="false" customHeight="true" outlineLevel="0" collapsed="false">
      <c r="A17" s="14" t="s">
        <v>100</v>
      </c>
      <c r="B17" s="15" t="s">
        <v>73</v>
      </c>
      <c r="C17" s="15" t="n">
        <v>9</v>
      </c>
      <c r="D17" s="18" t="s">
        <v>89</v>
      </c>
      <c r="E17" s="15" t="s">
        <v>90</v>
      </c>
      <c r="F17" s="14" t="s">
        <v>101</v>
      </c>
    </row>
    <row r="18" customFormat="false" ht="25.5" hidden="false" customHeight="true" outlineLevel="0" collapsed="false">
      <c r="A18" s="14" t="s">
        <v>102</v>
      </c>
      <c r="B18" s="15" t="s">
        <v>73</v>
      </c>
      <c r="C18" s="15" t="n">
        <v>11</v>
      </c>
      <c r="D18" s="18" t="s">
        <v>89</v>
      </c>
      <c r="E18" s="15" t="s">
        <v>90</v>
      </c>
      <c r="F18" s="14" t="s">
        <v>103</v>
      </c>
    </row>
    <row r="19" customFormat="false" ht="25.5" hidden="false" customHeight="true" outlineLevel="0" collapsed="false">
      <c r="A19" s="14" t="s">
        <v>104</v>
      </c>
      <c r="B19" s="15" t="s">
        <v>73</v>
      </c>
      <c r="C19" s="15" t="n">
        <v>7</v>
      </c>
      <c r="D19" s="18" t="s">
        <v>89</v>
      </c>
      <c r="E19" s="15" t="s">
        <v>90</v>
      </c>
      <c r="F19" s="14" t="s">
        <v>105</v>
      </c>
    </row>
    <row r="20" customFormat="false" ht="25.5" hidden="false" customHeight="true" outlineLevel="0" collapsed="false">
      <c r="A20" s="14" t="s">
        <v>106</v>
      </c>
      <c r="B20" s="15" t="s">
        <v>73</v>
      </c>
      <c r="C20" s="15" t="n">
        <v>9</v>
      </c>
      <c r="D20" s="17" t="s">
        <v>74</v>
      </c>
      <c r="E20" s="15" t="s">
        <v>75</v>
      </c>
      <c r="F20" s="14" t="s">
        <v>107</v>
      </c>
    </row>
    <row r="21" customFormat="false" ht="25.5" hidden="false" customHeight="true" outlineLevel="0" collapsed="false">
      <c r="A21" s="14" t="s">
        <v>108</v>
      </c>
      <c r="B21" s="15" t="s">
        <v>73</v>
      </c>
      <c r="C21" s="15" t="n">
        <v>13</v>
      </c>
      <c r="D21" s="17" t="s">
        <v>74</v>
      </c>
      <c r="E21" s="15" t="s">
        <v>75</v>
      </c>
      <c r="F21" s="14" t="s">
        <v>109</v>
      </c>
    </row>
    <row r="22" customFormat="false" ht="25.5" hidden="false" customHeight="true" outlineLevel="0" collapsed="false">
      <c r="A22" s="14" t="s">
        <v>110</v>
      </c>
      <c r="B22" s="15" t="s">
        <v>73</v>
      </c>
      <c r="C22" s="15" t="n">
        <v>9</v>
      </c>
      <c r="D22" s="17" t="s">
        <v>84</v>
      </c>
      <c r="E22" s="15" t="s">
        <v>75</v>
      </c>
      <c r="F22" s="14" t="s">
        <v>111</v>
      </c>
    </row>
    <row r="23" customFormat="false" ht="25.5" hidden="false" customHeight="true" outlineLevel="0" collapsed="false">
      <c r="A23" s="14" t="s">
        <v>112</v>
      </c>
      <c r="B23" s="15" t="s">
        <v>73</v>
      </c>
      <c r="C23" s="15" t="n">
        <v>9</v>
      </c>
      <c r="D23" s="19" t="s">
        <v>113</v>
      </c>
      <c r="E23" s="15" t="s">
        <v>114</v>
      </c>
      <c r="F23" s="14" t="s">
        <v>115</v>
      </c>
    </row>
    <row r="24" customFormat="false" ht="25.5" hidden="false" customHeight="true" outlineLevel="0" collapsed="false">
      <c r="A24" s="14" t="s">
        <v>116</v>
      </c>
      <c r="B24" s="15" t="s">
        <v>73</v>
      </c>
      <c r="C24" s="15" t="n">
        <v>9</v>
      </c>
      <c r="D24" s="19" t="s">
        <v>113</v>
      </c>
      <c r="E24" s="15" t="s">
        <v>114</v>
      </c>
      <c r="F24" s="14" t="s">
        <v>117</v>
      </c>
    </row>
    <row r="25" customFormat="false" ht="25.5" hidden="false" customHeight="true" outlineLevel="0" collapsed="false">
      <c r="A25" s="14" t="s">
        <v>118</v>
      </c>
      <c r="B25" s="15" t="s">
        <v>73</v>
      </c>
      <c r="C25" s="15" t="n">
        <v>9</v>
      </c>
      <c r="D25" s="18" t="s">
        <v>89</v>
      </c>
      <c r="E25" s="15" t="s">
        <v>90</v>
      </c>
      <c r="F25" s="14" t="s">
        <v>119</v>
      </c>
    </row>
    <row r="26" customFormat="false" ht="25.5" hidden="false" customHeight="true" outlineLevel="0" collapsed="false">
      <c r="A26" s="14" t="s">
        <v>120</v>
      </c>
      <c r="B26" s="15" t="s">
        <v>73</v>
      </c>
      <c r="C26" s="15" t="n">
        <v>9</v>
      </c>
      <c r="D26" s="16" t="s">
        <v>69</v>
      </c>
      <c r="E26" s="15" t="s">
        <v>75</v>
      </c>
      <c r="F26" s="14" t="s">
        <v>121</v>
      </c>
    </row>
    <row r="27" customFormat="false" ht="25.5" hidden="false" customHeight="true" outlineLevel="0" collapsed="false">
      <c r="A27" s="14" t="s">
        <v>122</v>
      </c>
      <c r="B27" s="15" t="s">
        <v>73</v>
      </c>
      <c r="C27" s="15" t="n">
        <v>9</v>
      </c>
      <c r="D27" s="19" t="s">
        <v>113</v>
      </c>
      <c r="E27" s="15" t="s">
        <v>114</v>
      </c>
      <c r="F27" s="14" t="s">
        <v>123</v>
      </c>
    </row>
    <row r="28" customFormat="false" ht="25.5" hidden="false" customHeight="true" outlineLevel="0" collapsed="false">
      <c r="A28" s="14" t="s">
        <v>124</v>
      </c>
      <c r="B28" s="15" t="s">
        <v>125</v>
      </c>
      <c r="C28" s="15" t="n">
        <v>34</v>
      </c>
      <c r="D28" s="18" t="s">
        <v>89</v>
      </c>
      <c r="E28" s="15" t="s">
        <v>90</v>
      </c>
      <c r="F28" s="14" t="s">
        <v>126</v>
      </c>
    </row>
    <row r="29" customFormat="false" ht="25.5" hidden="false" customHeight="true" outlineLevel="0" collapsed="false">
      <c r="A29" s="14" t="s">
        <v>127</v>
      </c>
      <c r="B29" s="15" t="s">
        <v>73</v>
      </c>
      <c r="C29" s="15" t="n">
        <v>5</v>
      </c>
      <c r="D29" s="17" t="s">
        <v>84</v>
      </c>
      <c r="E29" s="15" t="s">
        <v>75</v>
      </c>
      <c r="F29" s="14" t="s">
        <v>128</v>
      </c>
    </row>
    <row r="30" customFormat="false" ht="25.5" hidden="false" customHeight="true" outlineLevel="0" collapsed="false">
      <c r="A30" s="14" t="s">
        <v>129</v>
      </c>
      <c r="B30" s="15" t="s">
        <v>73</v>
      </c>
      <c r="C30" s="15" t="n">
        <v>11</v>
      </c>
      <c r="D30" s="19" t="s">
        <v>113</v>
      </c>
      <c r="E30" s="15" t="s">
        <v>114</v>
      </c>
      <c r="F30" s="14" t="s">
        <v>130</v>
      </c>
    </row>
    <row r="31" customFormat="false" ht="25.5" hidden="false" customHeight="true" outlineLevel="0" collapsed="false">
      <c r="A31" s="14" t="s">
        <v>131</v>
      </c>
      <c r="B31" s="15" t="s">
        <v>73</v>
      </c>
      <c r="C31" s="15" t="n">
        <v>11</v>
      </c>
      <c r="D31" s="19" t="s">
        <v>113</v>
      </c>
      <c r="E31" s="15" t="s">
        <v>114</v>
      </c>
      <c r="F31" s="14" t="s">
        <v>132</v>
      </c>
    </row>
    <row r="32" customFormat="false" ht="25.5" hidden="false" customHeight="true" outlineLevel="0" collapsed="false">
      <c r="A32" s="14" t="s">
        <v>133</v>
      </c>
      <c r="B32" s="15" t="s">
        <v>73</v>
      </c>
      <c r="C32" s="15" t="n">
        <v>11</v>
      </c>
      <c r="D32" s="19" t="s">
        <v>113</v>
      </c>
      <c r="E32" s="15" t="s">
        <v>134</v>
      </c>
      <c r="F32" s="14" t="s">
        <v>135</v>
      </c>
    </row>
    <row r="33" customFormat="false" ht="25.5" hidden="false" customHeight="true" outlineLevel="0" collapsed="false">
      <c r="A33" s="14" t="s">
        <v>136</v>
      </c>
      <c r="B33" s="15" t="s">
        <v>73</v>
      </c>
      <c r="C33" s="15" t="n">
        <v>11</v>
      </c>
      <c r="D33" s="19" t="s">
        <v>113</v>
      </c>
      <c r="E33" s="15" t="s">
        <v>134</v>
      </c>
      <c r="F33" s="14" t="s">
        <v>137</v>
      </c>
    </row>
    <row r="34" customFormat="false" ht="25.5" hidden="false" customHeight="true" outlineLevel="0" collapsed="false">
      <c r="A34" s="14" t="s">
        <v>138</v>
      </c>
      <c r="B34" s="15" t="s">
        <v>73</v>
      </c>
      <c r="C34" s="15" t="n">
        <v>11</v>
      </c>
      <c r="D34" s="19" t="s">
        <v>113</v>
      </c>
      <c r="E34" s="15" t="s">
        <v>139</v>
      </c>
      <c r="F34" s="14" t="s">
        <v>140</v>
      </c>
    </row>
    <row r="35" customFormat="false" ht="25.5" hidden="false" customHeight="true" outlineLevel="0" collapsed="false">
      <c r="A35" s="14" t="s">
        <v>141</v>
      </c>
      <c r="B35" s="15" t="s">
        <v>73</v>
      </c>
      <c r="C35" s="15" t="n">
        <v>11</v>
      </c>
      <c r="D35" s="19" t="s">
        <v>113</v>
      </c>
      <c r="E35" s="15" t="s">
        <v>139</v>
      </c>
      <c r="F35" s="14" t="s">
        <v>142</v>
      </c>
    </row>
    <row r="36" customFormat="false" ht="25.5" hidden="false" customHeight="true" outlineLevel="0" collapsed="false">
      <c r="A36" s="14" t="s">
        <v>143</v>
      </c>
      <c r="B36" s="15" t="s">
        <v>73</v>
      </c>
      <c r="C36" s="15" t="n">
        <v>11</v>
      </c>
      <c r="D36" s="19" t="s">
        <v>144</v>
      </c>
      <c r="E36" s="15" t="s">
        <v>145</v>
      </c>
      <c r="F36" s="14" t="s">
        <v>146</v>
      </c>
    </row>
    <row r="37" customFormat="false" ht="25.5" hidden="false" customHeight="true" outlineLevel="0" collapsed="false">
      <c r="A37" s="14" t="s">
        <v>147</v>
      </c>
      <c r="B37" s="15" t="s">
        <v>73</v>
      </c>
      <c r="C37" s="15" t="n">
        <v>11</v>
      </c>
      <c r="D37" s="17" t="s">
        <v>84</v>
      </c>
      <c r="E37" s="15" t="s">
        <v>75</v>
      </c>
      <c r="F37" s="14" t="s">
        <v>148</v>
      </c>
    </row>
    <row r="38" customFormat="false" ht="25.5" hidden="false" customHeight="true" outlineLevel="0" collapsed="false">
      <c r="A38" s="14" t="s">
        <v>149</v>
      </c>
      <c r="B38" s="15" t="s">
        <v>73</v>
      </c>
      <c r="C38" s="15" t="n">
        <v>13</v>
      </c>
      <c r="D38" s="17" t="s">
        <v>84</v>
      </c>
      <c r="E38" s="15" t="s">
        <v>75</v>
      </c>
      <c r="F38" s="14" t="s">
        <v>150</v>
      </c>
    </row>
    <row r="39" customFormat="false" ht="36" hidden="false" customHeight="true" outlineLevel="0" collapsed="false">
      <c r="A39" s="14" t="s">
        <v>151</v>
      </c>
      <c r="B39" s="15" t="s">
        <v>73</v>
      </c>
      <c r="C39" s="15" t="n">
        <v>13</v>
      </c>
      <c r="D39" s="16" t="s">
        <v>152</v>
      </c>
      <c r="E39" s="15" t="s">
        <v>75</v>
      </c>
      <c r="F39" s="14" t="s">
        <v>153</v>
      </c>
    </row>
    <row r="40" customFormat="false" ht="25.5" hidden="false" customHeight="true" outlineLevel="0" collapsed="false">
      <c r="A40" s="14" t="s">
        <v>154</v>
      </c>
      <c r="B40" s="15" t="s">
        <v>73</v>
      </c>
      <c r="C40" s="15" t="n">
        <v>13</v>
      </c>
      <c r="D40" s="17" t="s">
        <v>84</v>
      </c>
      <c r="E40" s="15" t="s">
        <v>75</v>
      </c>
      <c r="F40" s="14" t="s">
        <v>155</v>
      </c>
    </row>
    <row r="41" customFormat="false" ht="25.5" hidden="false" customHeight="true" outlineLevel="0" collapsed="false">
      <c r="A41" s="14" t="s">
        <v>156</v>
      </c>
      <c r="B41" s="15" t="s">
        <v>73</v>
      </c>
      <c r="C41" s="15" t="n">
        <v>15</v>
      </c>
      <c r="D41" s="17" t="s">
        <v>84</v>
      </c>
      <c r="E41" s="15" t="s">
        <v>75</v>
      </c>
      <c r="F41" s="14" t="s">
        <v>157</v>
      </c>
    </row>
    <row r="42" customFormat="false" ht="25.5" hidden="false" customHeight="true" outlineLevel="0" collapsed="false">
      <c r="A42" s="14" t="s">
        <v>158</v>
      </c>
      <c r="B42" s="15" t="s">
        <v>73</v>
      </c>
      <c r="C42" s="15" t="n">
        <v>11</v>
      </c>
      <c r="D42" s="17" t="s">
        <v>84</v>
      </c>
      <c r="E42" s="15" t="s">
        <v>75</v>
      </c>
      <c r="F42" s="14" t="s">
        <v>159</v>
      </c>
    </row>
    <row r="43" customFormat="false" ht="25.5" hidden="false" customHeight="true" outlineLevel="0" collapsed="false">
      <c r="A43" s="14" t="s">
        <v>160</v>
      </c>
      <c r="B43" s="15" t="s">
        <v>73</v>
      </c>
      <c r="C43" s="15" t="n">
        <v>5</v>
      </c>
      <c r="D43" s="17" t="s">
        <v>74</v>
      </c>
      <c r="E43" s="15" t="s">
        <v>75</v>
      </c>
      <c r="F43" s="14" t="s">
        <v>161</v>
      </c>
    </row>
    <row r="44" customFormat="false" ht="25.5" hidden="false" customHeight="true" outlineLevel="0" collapsed="false">
      <c r="A44" s="14" t="s">
        <v>162</v>
      </c>
      <c r="B44" s="15" t="s">
        <v>163</v>
      </c>
      <c r="C44" s="15" t="n">
        <v>84</v>
      </c>
      <c r="D44" s="16" t="s">
        <v>152</v>
      </c>
      <c r="E44" s="15" t="s">
        <v>75</v>
      </c>
      <c r="F44" s="14" t="s">
        <v>164</v>
      </c>
    </row>
    <row r="45" customFormat="false" ht="25.5" hidden="false" customHeight="true" outlineLevel="0" collapsed="false">
      <c r="A45" s="14" t="s">
        <v>165</v>
      </c>
      <c r="B45" s="15" t="s">
        <v>166</v>
      </c>
      <c r="C45" s="15" t="n">
        <v>7</v>
      </c>
      <c r="D45" s="18" t="s">
        <v>89</v>
      </c>
      <c r="E45" s="15" t="s">
        <v>90</v>
      </c>
      <c r="F45" s="14" t="s">
        <v>167</v>
      </c>
    </row>
    <row r="46" customFormat="false" ht="25.5" hidden="false" customHeight="true" outlineLevel="0" collapsed="false">
      <c r="A46" s="14" t="s">
        <v>168</v>
      </c>
      <c r="B46" s="15" t="s">
        <v>166</v>
      </c>
      <c r="C46" s="15" t="n">
        <v>9</v>
      </c>
      <c r="D46" s="18" t="s">
        <v>89</v>
      </c>
      <c r="E46" s="15" t="s">
        <v>90</v>
      </c>
      <c r="F46" s="14" t="s">
        <v>169</v>
      </c>
    </row>
    <row r="47" customFormat="false" ht="25.5" hidden="false" customHeight="true" outlineLevel="0" collapsed="false">
      <c r="A47" s="14" t="s">
        <v>170</v>
      </c>
      <c r="B47" s="15" t="s">
        <v>166</v>
      </c>
      <c r="C47" s="15" t="n">
        <v>7</v>
      </c>
      <c r="D47" s="19" t="s">
        <v>113</v>
      </c>
      <c r="E47" s="15" t="s">
        <v>171</v>
      </c>
      <c r="F47" s="14" t="s">
        <v>172</v>
      </c>
    </row>
    <row r="48" customFormat="false" ht="25.5" hidden="false" customHeight="true" outlineLevel="0" collapsed="false">
      <c r="A48" s="14" t="s">
        <v>173</v>
      </c>
      <c r="B48" s="15" t="s">
        <v>166</v>
      </c>
      <c r="C48" s="15" t="n">
        <v>5</v>
      </c>
      <c r="D48" s="19" t="s">
        <v>113</v>
      </c>
      <c r="E48" s="15" t="s">
        <v>139</v>
      </c>
      <c r="F48" s="14"/>
    </row>
    <row r="49" customFormat="false" ht="25.5" hidden="false" customHeight="true" outlineLevel="0" collapsed="false">
      <c r="A49" s="14" t="s">
        <v>174</v>
      </c>
      <c r="B49" s="15" t="s">
        <v>166</v>
      </c>
      <c r="C49" s="15" t="n">
        <v>7</v>
      </c>
      <c r="D49" s="19" t="s">
        <v>113</v>
      </c>
      <c r="E49" s="15" t="s">
        <v>171</v>
      </c>
      <c r="F49" s="14" t="s">
        <v>175</v>
      </c>
    </row>
    <row r="50" customFormat="false" ht="25.5" hidden="false" customHeight="true" outlineLevel="0" collapsed="false">
      <c r="A50" s="14" t="s">
        <v>176</v>
      </c>
      <c r="B50" s="15" t="s">
        <v>166</v>
      </c>
      <c r="C50" s="15" t="n">
        <v>7</v>
      </c>
      <c r="D50" s="19" t="s">
        <v>113</v>
      </c>
      <c r="E50" s="15" t="s">
        <v>171</v>
      </c>
      <c r="F50" s="14"/>
    </row>
    <row r="51" customFormat="false" ht="25.5" hidden="false" customHeight="true" outlineLevel="0" collapsed="false">
      <c r="A51" s="14" t="s">
        <v>177</v>
      </c>
      <c r="B51" s="15" t="s">
        <v>166</v>
      </c>
      <c r="C51" s="15" t="n">
        <v>9</v>
      </c>
      <c r="D51" s="18" t="s">
        <v>89</v>
      </c>
      <c r="E51" s="15" t="s">
        <v>90</v>
      </c>
      <c r="F51" s="14" t="s">
        <v>178</v>
      </c>
    </row>
    <row r="52" customFormat="false" ht="25.5" hidden="false" customHeight="true" outlineLevel="0" collapsed="false">
      <c r="A52" s="14" t="s">
        <v>179</v>
      </c>
      <c r="B52" s="15" t="s">
        <v>166</v>
      </c>
      <c r="C52" s="15" t="n">
        <v>9</v>
      </c>
      <c r="D52" s="18" t="s">
        <v>89</v>
      </c>
      <c r="E52" s="15" t="s">
        <v>90</v>
      </c>
      <c r="F52" s="14" t="s">
        <v>178</v>
      </c>
    </row>
    <row r="53" customFormat="false" ht="25.5" hidden="false" customHeight="true" outlineLevel="0" collapsed="false">
      <c r="A53" s="14" t="s">
        <v>180</v>
      </c>
      <c r="B53" s="15" t="s">
        <v>181</v>
      </c>
      <c r="C53" s="15" t="n">
        <v>9</v>
      </c>
      <c r="D53" s="19" t="s">
        <v>144</v>
      </c>
      <c r="E53" s="15" t="s">
        <v>145</v>
      </c>
      <c r="F53" s="14" t="s">
        <v>182</v>
      </c>
    </row>
    <row r="54" customFormat="false" ht="25.5" hidden="false" customHeight="true" outlineLevel="0" collapsed="false">
      <c r="A54" s="14" t="s">
        <v>183</v>
      </c>
      <c r="B54" s="15" t="s">
        <v>181</v>
      </c>
      <c r="C54" s="15" t="n">
        <v>9</v>
      </c>
      <c r="D54" s="18" t="s">
        <v>89</v>
      </c>
      <c r="E54" s="15" t="s">
        <v>90</v>
      </c>
      <c r="F54" s="14" t="s">
        <v>184</v>
      </c>
    </row>
    <row r="55" customFormat="false" ht="25.5" hidden="false" customHeight="true" outlineLevel="0" collapsed="false">
      <c r="A55" s="14" t="s">
        <v>185</v>
      </c>
      <c r="B55" s="15" t="s">
        <v>181</v>
      </c>
      <c r="C55" s="15" t="n">
        <v>7</v>
      </c>
      <c r="D55" s="19" t="s">
        <v>113</v>
      </c>
      <c r="E55" s="15" t="s">
        <v>139</v>
      </c>
      <c r="F55" s="14"/>
    </row>
    <row r="56" customFormat="false" ht="25.5" hidden="false" customHeight="true" outlineLevel="0" collapsed="false">
      <c r="A56" s="14" t="s">
        <v>186</v>
      </c>
      <c r="B56" s="15" t="s">
        <v>181</v>
      </c>
      <c r="C56" s="15" t="n">
        <v>9</v>
      </c>
      <c r="D56" s="19" t="s">
        <v>113</v>
      </c>
      <c r="E56" s="15" t="s">
        <v>171</v>
      </c>
      <c r="F56" s="14" t="s">
        <v>187</v>
      </c>
    </row>
    <row r="57" customFormat="false" ht="25.5" hidden="false" customHeight="true" outlineLevel="0" collapsed="false">
      <c r="A57" s="14" t="s">
        <v>188</v>
      </c>
      <c r="B57" s="15" t="s">
        <v>181</v>
      </c>
      <c r="C57" s="15" t="n">
        <v>7</v>
      </c>
      <c r="D57" s="16" t="s">
        <v>69</v>
      </c>
      <c r="E57" s="15" t="s">
        <v>75</v>
      </c>
      <c r="F57" s="14" t="s">
        <v>189</v>
      </c>
    </row>
    <row r="58" customFormat="false" ht="25.5" hidden="false" customHeight="true" outlineLevel="0" collapsed="false">
      <c r="A58" s="14" t="s">
        <v>190</v>
      </c>
      <c r="B58" s="15" t="s">
        <v>181</v>
      </c>
      <c r="C58" s="15" t="n">
        <v>9</v>
      </c>
      <c r="D58" s="19" t="s">
        <v>144</v>
      </c>
      <c r="E58" s="15" t="s">
        <v>139</v>
      </c>
      <c r="F58" s="14" t="s">
        <v>191</v>
      </c>
    </row>
    <row r="59" customFormat="false" ht="25.5" hidden="false" customHeight="true" outlineLevel="0" collapsed="false">
      <c r="A59" s="14" t="s">
        <v>192</v>
      </c>
      <c r="B59" s="15" t="s">
        <v>181</v>
      </c>
      <c r="C59" s="15" t="n">
        <v>7</v>
      </c>
      <c r="D59" s="16" t="s">
        <v>69</v>
      </c>
      <c r="E59" s="15" t="s">
        <v>75</v>
      </c>
      <c r="F59" s="14" t="s">
        <v>193</v>
      </c>
    </row>
    <row r="60" customFormat="false" ht="25.5" hidden="false" customHeight="true" outlineLevel="0" collapsed="false">
      <c r="A60" s="14" t="s">
        <v>194</v>
      </c>
      <c r="B60" s="15" t="s">
        <v>195</v>
      </c>
      <c r="C60" s="15" t="n">
        <v>9</v>
      </c>
      <c r="D60" s="16" t="s">
        <v>69</v>
      </c>
      <c r="E60" s="15" t="s">
        <v>75</v>
      </c>
      <c r="F60" s="14" t="s">
        <v>196</v>
      </c>
    </row>
    <row r="61" customFormat="false" ht="25.5" hidden="false" customHeight="true" outlineLevel="0" collapsed="false">
      <c r="A61" s="14" t="s">
        <v>197</v>
      </c>
      <c r="B61" s="15" t="s">
        <v>195</v>
      </c>
      <c r="C61" s="15" t="n">
        <v>11</v>
      </c>
      <c r="D61" s="17" t="s">
        <v>84</v>
      </c>
      <c r="E61" s="15" t="s">
        <v>75</v>
      </c>
      <c r="F61" s="14" t="s">
        <v>198</v>
      </c>
    </row>
    <row r="62" customFormat="false" ht="25.5" hidden="false" customHeight="true" outlineLevel="0" collapsed="false">
      <c r="A62" s="14" t="s">
        <v>199</v>
      </c>
      <c r="B62" s="15" t="s">
        <v>195</v>
      </c>
      <c r="C62" s="15" t="n">
        <v>9</v>
      </c>
      <c r="D62" s="16" t="s">
        <v>69</v>
      </c>
      <c r="E62" s="15" t="s">
        <v>75</v>
      </c>
      <c r="F62" s="14" t="s">
        <v>200</v>
      </c>
    </row>
    <row r="63" customFormat="false" ht="25.5" hidden="false" customHeight="true" outlineLevel="0" collapsed="false">
      <c r="A63" s="14" t="s">
        <v>201</v>
      </c>
      <c r="B63" s="15" t="s">
        <v>195</v>
      </c>
      <c r="C63" s="15" t="n">
        <v>9</v>
      </c>
      <c r="D63" s="16" t="s">
        <v>69</v>
      </c>
      <c r="E63" s="15" t="s">
        <v>75</v>
      </c>
      <c r="F63" s="14" t="s">
        <v>202</v>
      </c>
    </row>
    <row r="64" customFormat="false" ht="25.5" hidden="false" customHeight="true" outlineLevel="0" collapsed="false">
      <c r="A64" s="14" t="s">
        <v>203</v>
      </c>
      <c r="B64" s="15" t="s">
        <v>195</v>
      </c>
      <c r="C64" s="15" t="n">
        <v>9</v>
      </c>
      <c r="D64" s="19" t="s">
        <v>113</v>
      </c>
      <c r="E64" s="15" t="s">
        <v>134</v>
      </c>
      <c r="F64" s="14" t="s">
        <v>204</v>
      </c>
    </row>
    <row r="65" customFormat="false" ht="25.5" hidden="false" customHeight="true" outlineLevel="0" collapsed="false">
      <c r="A65" s="14" t="s">
        <v>205</v>
      </c>
      <c r="B65" s="15" t="s">
        <v>195</v>
      </c>
      <c r="C65" s="15" t="n">
        <v>7</v>
      </c>
      <c r="D65" s="18" t="s">
        <v>89</v>
      </c>
      <c r="E65" s="15" t="s">
        <v>90</v>
      </c>
      <c r="F65" s="14" t="s">
        <v>167</v>
      </c>
    </row>
    <row r="66" customFormat="false" ht="25.5" hidden="false" customHeight="true" outlineLevel="0" collapsed="false">
      <c r="A66" s="14" t="s">
        <v>206</v>
      </c>
      <c r="B66" s="15" t="s">
        <v>207</v>
      </c>
      <c r="C66" s="15" t="n">
        <v>56</v>
      </c>
      <c r="D66" s="19" t="s">
        <v>113</v>
      </c>
      <c r="E66" s="15" t="s">
        <v>208</v>
      </c>
      <c r="F66" s="14" t="s">
        <v>209</v>
      </c>
    </row>
    <row r="67" customFormat="false" ht="25.5" hidden="false" customHeight="true" outlineLevel="0" collapsed="false">
      <c r="A67" s="14" t="s">
        <v>210</v>
      </c>
      <c r="B67" s="15" t="s">
        <v>211</v>
      </c>
      <c r="C67" s="15" t="n">
        <v>102</v>
      </c>
      <c r="D67" s="19" t="s">
        <v>113</v>
      </c>
      <c r="E67" s="15" t="s">
        <v>212</v>
      </c>
      <c r="F67" s="14" t="s">
        <v>213</v>
      </c>
    </row>
    <row r="68" customFormat="false" ht="25.5" hidden="false" customHeight="true" outlineLevel="0" collapsed="false">
      <c r="A68" s="14" t="s">
        <v>214</v>
      </c>
      <c r="B68" s="15" t="s">
        <v>215</v>
      </c>
      <c r="C68" s="15" t="n">
        <v>142</v>
      </c>
      <c r="D68" s="17" t="s">
        <v>74</v>
      </c>
      <c r="E68" s="15" t="s">
        <v>216</v>
      </c>
      <c r="F68" s="14" t="s">
        <v>217</v>
      </c>
    </row>
    <row r="69" customFormat="false" ht="25.5" hidden="false" customHeight="true" outlineLevel="0" collapsed="false">
      <c r="A69" s="14" t="s">
        <v>218</v>
      </c>
      <c r="B69" s="15" t="s">
        <v>219</v>
      </c>
      <c r="C69" s="15"/>
      <c r="D69" s="18" t="s">
        <v>89</v>
      </c>
      <c r="E69" s="15" t="s">
        <v>90</v>
      </c>
      <c r="F69" s="14" t="s">
        <v>220</v>
      </c>
    </row>
    <row r="70" customFormat="false" ht="25.5" hidden="false" customHeight="true" outlineLevel="0" collapsed="false">
      <c r="A70" s="14" t="s">
        <v>221</v>
      </c>
      <c r="B70" s="15" t="s">
        <v>219</v>
      </c>
      <c r="C70" s="15"/>
      <c r="D70" s="18" t="s">
        <v>89</v>
      </c>
      <c r="E70" s="15" t="s">
        <v>90</v>
      </c>
      <c r="F70" s="14" t="s">
        <v>222</v>
      </c>
    </row>
    <row r="72" customFormat="false" ht="15" hidden="false" customHeight="true" outlineLevel="0" collapsed="false">
      <c r="A72" s="4" t="s">
        <v>223</v>
      </c>
      <c r="B72" s="5"/>
      <c r="C72" s="5"/>
      <c r="D72" s="5"/>
      <c r="E72" s="5"/>
      <c r="F72" s="5"/>
    </row>
    <row r="73" customFormat="false" ht="48" hidden="false" customHeight="true" outlineLevel="0" collapsed="false">
      <c r="A73" s="20" t="s">
        <v>224</v>
      </c>
      <c r="B73" s="21"/>
      <c r="C73" s="21"/>
      <c r="D73" s="16" t="s">
        <v>225</v>
      </c>
      <c r="E73" s="15" t="s">
        <v>75</v>
      </c>
      <c r="F73" s="14" t="s">
        <v>226</v>
      </c>
    </row>
    <row r="74" customFormat="false" ht="25.5" hidden="false" customHeight="true" outlineLevel="0" collapsed="false">
      <c r="A74" s="20" t="s">
        <v>227</v>
      </c>
      <c r="B74" s="21"/>
      <c r="C74" s="21"/>
      <c r="D74" s="16" t="s">
        <v>225</v>
      </c>
      <c r="E74" s="15" t="s">
        <v>75</v>
      </c>
      <c r="F74" s="14" t="s">
        <v>228</v>
      </c>
    </row>
    <row r="75" customFormat="false" ht="25.5" hidden="false" customHeight="true" outlineLevel="0" collapsed="false">
      <c r="A75" s="20" t="s">
        <v>229</v>
      </c>
      <c r="B75" s="21"/>
      <c r="C75" s="21"/>
      <c r="D75" s="16" t="s">
        <v>225</v>
      </c>
      <c r="E75" s="15" t="s">
        <v>75</v>
      </c>
      <c r="F75" s="14" t="s">
        <v>230</v>
      </c>
    </row>
    <row r="76" customFormat="false" ht="36" hidden="false" customHeight="true" outlineLevel="0" collapsed="false">
      <c r="A76" s="20" t="s">
        <v>231</v>
      </c>
      <c r="B76" s="21"/>
      <c r="C76" s="21"/>
      <c r="D76" s="16" t="s">
        <v>225</v>
      </c>
      <c r="E76" s="15" t="s">
        <v>75</v>
      </c>
      <c r="F76" s="14" t="s">
        <v>232</v>
      </c>
    </row>
    <row r="77" customFormat="false" ht="36" hidden="false" customHeight="true" outlineLevel="0" collapsed="false">
      <c r="A77" s="20" t="s">
        <v>233</v>
      </c>
      <c r="B77" s="21"/>
      <c r="C77" s="21"/>
      <c r="D77" s="16" t="s">
        <v>225</v>
      </c>
      <c r="E77" s="15" t="s">
        <v>75</v>
      </c>
      <c r="F77" s="14" t="s">
        <v>234</v>
      </c>
    </row>
    <row r="78" customFormat="false" ht="25.5" hidden="false" customHeight="true" outlineLevel="0" collapsed="false">
      <c r="A78" s="20" t="s">
        <v>235</v>
      </c>
      <c r="B78" s="21"/>
      <c r="C78" s="21"/>
      <c r="D78" s="16" t="s">
        <v>225</v>
      </c>
      <c r="E78" s="15" t="s">
        <v>75</v>
      </c>
      <c r="F78" s="14" t="s">
        <v>236</v>
      </c>
    </row>
    <row r="79" customFormat="false" ht="25.5" hidden="false" customHeight="true" outlineLevel="0" collapsed="false">
      <c r="A79" s="20" t="s">
        <v>237</v>
      </c>
      <c r="B79" s="21"/>
      <c r="C79" s="21"/>
      <c r="D79" s="16" t="s">
        <v>225</v>
      </c>
      <c r="E79" s="15" t="s">
        <v>75</v>
      </c>
      <c r="F79" s="14" t="s">
        <v>238</v>
      </c>
    </row>
    <row r="80" customFormat="false" ht="25.5" hidden="false" customHeight="true" outlineLevel="0" collapsed="false">
      <c r="A80" s="20" t="s">
        <v>239</v>
      </c>
      <c r="B80" s="21"/>
      <c r="C80" s="21"/>
      <c r="D80" s="16" t="s">
        <v>225</v>
      </c>
      <c r="E80" s="15" t="s">
        <v>75</v>
      </c>
      <c r="F80" s="14" t="s">
        <v>240</v>
      </c>
    </row>
    <row r="81" customFormat="false" ht="25.5" hidden="false" customHeight="true" outlineLevel="0" collapsed="false">
      <c r="A81" s="20" t="s">
        <v>241</v>
      </c>
      <c r="B81" s="21"/>
      <c r="C81" s="21"/>
      <c r="D81" s="16" t="s">
        <v>225</v>
      </c>
      <c r="E81" s="15" t="s">
        <v>75</v>
      </c>
      <c r="F81" s="14" t="s">
        <v>242</v>
      </c>
    </row>
    <row r="82" customFormat="false" ht="25.5" hidden="false" customHeight="true" outlineLevel="0" collapsed="false">
      <c r="A82" s="20" t="s">
        <v>243</v>
      </c>
      <c r="B82" s="21"/>
      <c r="C82" s="21"/>
      <c r="D82" s="16" t="s">
        <v>225</v>
      </c>
      <c r="E82" s="15" t="s">
        <v>75</v>
      </c>
      <c r="F82" s="14" t="s">
        <v>244</v>
      </c>
    </row>
    <row r="83" customFormat="false" ht="36" hidden="false" customHeight="true" outlineLevel="0" collapsed="false">
      <c r="A83" s="20" t="s">
        <v>245</v>
      </c>
      <c r="B83" s="21"/>
      <c r="C83" s="21"/>
      <c r="D83" s="16" t="s">
        <v>225</v>
      </c>
      <c r="E83" s="15" t="s">
        <v>75</v>
      </c>
      <c r="F83" s="14" t="s">
        <v>246</v>
      </c>
    </row>
    <row r="84" customFormat="false" ht="25.5" hidden="false" customHeight="true" outlineLevel="0" collapsed="false">
      <c r="A84" s="20" t="s">
        <v>247</v>
      </c>
      <c r="B84" s="21"/>
      <c r="C84" s="21"/>
      <c r="D84" s="16" t="s">
        <v>225</v>
      </c>
      <c r="E84" s="15" t="s">
        <v>75</v>
      </c>
      <c r="F84" s="14"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11"/>
    <col collapsed="false" customWidth="true" hidden="false" outlineLevel="0" max="3" min="3" style="0" width="8"/>
    <col collapsed="false" customWidth="true" hidden="false" outlineLevel="0" max="4" min="4" style="0" width="6"/>
    <col collapsed="false" customWidth="true" hidden="false" outlineLevel="0" max="38" min="5" style="0" width="2.6"/>
  </cols>
  <sheetData>
    <row r="1" customFormat="false" ht="17.35" hidden="false" customHeight="false" outlineLevel="0" collapsed="false">
      <c r="A1" s="22" t="s">
        <v>249</v>
      </c>
    </row>
    <row r="2" customFormat="false" ht="39.75" hidden="false" customHeight="true" outlineLevel="0" collapsed="false">
      <c r="A2" s="23" t="s">
        <v>250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4" customFormat="false" ht="15" hidden="false" customHeight="false" outlineLevel="0" collapsed="false">
      <c r="A4" s="24" t="s">
        <v>251</v>
      </c>
      <c r="B4" s="24" t="s">
        <v>252</v>
      </c>
      <c r="C4" s="24" t="s">
        <v>253</v>
      </c>
      <c r="D4" s="25" t="s">
        <v>63</v>
      </c>
      <c r="E4" s="26" t="n">
        <v>1</v>
      </c>
      <c r="F4" s="26" t="n">
        <v>2</v>
      </c>
      <c r="G4" s="26" t="n">
        <v>3</v>
      </c>
      <c r="H4" s="26" t="n">
        <v>4</v>
      </c>
      <c r="I4" s="26" t="n">
        <v>5</v>
      </c>
      <c r="J4" s="26" t="n">
        <v>6</v>
      </c>
      <c r="K4" s="26" t="n">
        <v>7</v>
      </c>
      <c r="L4" s="26" t="n">
        <v>8</v>
      </c>
      <c r="M4" s="26" t="n">
        <v>9</v>
      </c>
      <c r="N4" s="26" t="n">
        <v>10</v>
      </c>
      <c r="O4" s="26" t="n">
        <v>11</v>
      </c>
      <c r="P4" s="26" t="n">
        <v>12</v>
      </c>
      <c r="Q4" s="26" t="n">
        <v>13</v>
      </c>
      <c r="R4" s="26" t="n">
        <v>14</v>
      </c>
      <c r="S4" s="26" t="n">
        <v>15</v>
      </c>
      <c r="T4" s="26" t="n">
        <v>16</v>
      </c>
      <c r="U4" s="26" t="n">
        <v>17</v>
      </c>
      <c r="V4" s="26" t="n">
        <v>18</v>
      </c>
      <c r="W4" s="26" t="n">
        <v>19</v>
      </c>
      <c r="X4" s="26" t="n">
        <v>20</v>
      </c>
      <c r="Y4" s="26" t="n">
        <v>21</v>
      </c>
      <c r="Z4" s="26" t="n">
        <v>22</v>
      </c>
      <c r="AA4" s="26" t="n">
        <v>23</v>
      </c>
      <c r="AB4" s="26" t="n">
        <v>24</v>
      </c>
      <c r="AC4" s="26" t="n">
        <v>25</v>
      </c>
      <c r="AD4" s="26" t="n">
        <v>26</v>
      </c>
      <c r="AE4" s="26" t="n">
        <v>27</v>
      </c>
      <c r="AF4" s="26" t="n">
        <v>28</v>
      </c>
      <c r="AG4" s="26" t="n">
        <v>29</v>
      </c>
      <c r="AH4" s="26" t="n">
        <v>30</v>
      </c>
      <c r="AI4" s="26" t="n">
        <v>31</v>
      </c>
      <c r="AJ4" s="26" t="n">
        <v>32</v>
      </c>
      <c r="AK4" s="26" t="n">
        <v>33</v>
      </c>
      <c r="AL4" s="26" t="n">
        <v>34</v>
      </c>
    </row>
    <row r="5" customFormat="false" ht="15" hidden="false" customHeight="false" outlineLevel="0" collapsed="false">
      <c r="A5" s="27" t="s">
        <v>254</v>
      </c>
      <c r="B5" s="28" t="s">
        <v>255</v>
      </c>
      <c r="C5" s="29" t="n">
        <v>3</v>
      </c>
      <c r="D5" s="28" t="n">
        <v>14</v>
      </c>
      <c r="E5" s="30"/>
      <c r="F5" s="30"/>
      <c r="G5" s="30"/>
      <c r="H5" s="30"/>
      <c r="I5" s="30"/>
      <c r="J5" s="30"/>
      <c r="K5" s="30"/>
      <c r="L5" s="30"/>
      <c r="M5" s="30"/>
      <c r="N5" s="30"/>
      <c r="O5" s="30"/>
      <c r="P5" s="30"/>
      <c r="Q5" s="30"/>
      <c r="R5" s="30"/>
    </row>
    <row r="6" customFormat="false" ht="15" hidden="false" customHeight="false" outlineLevel="0" collapsed="false">
      <c r="A6" s="27" t="s">
        <v>256</v>
      </c>
      <c r="B6" s="28" t="s">
        <v>255</v>
      </c>
      <c r="C6" s="29" t="n">
        <v>2.5</v>
      </c>
      <c r="D6" s="28" t="n">
        <v>12</v>
      </c>
      <c r="E6" s="30"/>
      <c r="F6" s="30"/>
      <c r="G6" s="30"/>
      <c r="H6" s="30"/>
      <c r="I6" s="30"/>
      <c r="J6" s="30"/>
      <c r="K6" s="30"/>
      <c r="L6" s="30"/>
      <c r="M6" s="30"/>
      <c r="N6" s="30"/>
      <c r="O6" s="30"/>
      <c r="P6" s="30"/>
    </row>
    <row r="7" customFormat="false" ht="15" hidden="false" customHeight="false" outlineLevel="0" collapsed="false">
      <c r="A7" s="27" t="s">
        <v>257</v>
      </c>
      <c r="B7" s="28" t="s">
        <v>255</v>
      </c>
      <c r="C7" s="29" t="n">
        <v>1</v>
      </c>
      <c r="D7" s="28" t="n">
        <v>10</v>
      </c>
      <c r="E7" s="30"/>
      <c r="F7" s="30"/>
      <c r="G7" s="30"/>
      <c r="H7" s="30"/>
      <c r="I7" s="30"/>
      <c r="J7" s="30"/>
      <c r="K7" s="30"/>
      <c r="L7" s="30"/>
      <c r="M7" s="30"/>
      <c r="N7" s="30"/>
    </row>
    <row r="8" customFormat="false" ht="15" hidden="false" customHeight="false" outlineLevel="0" collapsed="false">
      <c r="A8" s="27" t="s">
        <v>258</v>
      </c>
      <c r="B8" s="28" t="s">
        <v>255</v>
      </c>
      <c r="C8" s="29" t="n">
        <v>1.5</v>
      </c>
      <c r="D8" s="28" t="n">
        <v>11</v>
      </c>
      <c r="F8" s="30"/>
      <c r="G8" s="30"/>
      <c r="H8" s="30"/>
      <c r="I8" s="30"/>
      <c r="J8" s="30"/>
      <c r="K8" s="30"/>
      <c r="L8" s="30"/>
      <c r="M8" s="30"/>
      <c r="N8" s="30"/>
      <c r="O8" s="30"/>
      <c r="P8" s="30"/>
    </row>
    <row r="9" customFormat="false" ht="15" hidden="false" customHeight="false" outlineLevel="0" collapsed="false">
      <c r="A9" s="27" t="s">
        <v>259</v>
      </c>
      <c r="B9" s="28" t="s">
        <v>255</v>
      </c>
      <c r="C9" s="29" t="n">
        <v>1.5</v>
      </c>
      <c r="D9" s="28" t="n">
        <v>11</v>
      </c>
      <c r="F9" s="30"/>
      <c r="G9" s="30"/>
      <c r="H9" s="30"/>
      <c r="I9" s="30"/>
      <c r="J9" s="30"/>
      <c r="K9" s="30"/>
      <c r="L9" s="30"/>
      <c r="M9" s="30"/>
      <c r="N9" s="30"/>
      <c r="O9" s="30"/>
      <c r="P9" s="30"/>
    </row>
    <row r="10" customFormat="false" ht="15" hidden="false" customHeight="false" outlineLevel="0" collapsed="false">
      <c r="A10" s="27" t="s">
        <v>260</v>
      </c>
      <c r="B10" s="28" t="s">
        <v>261</v>
      </c>
      <c r="C10" s="29" t="n">
        <v>3</v>
      </c>
      <c r="D10" s="28" t="n">
        <v>11</v>
      </c>
      <c r="H10" s="31"/>
      <c r="I10" s="31"/>
      <c r="J10" s="31"/>
      <c r="K10" s="31"/>
      <c r="L10" s="31"/>
      <c r="M10" s="31"/>
      <c r="N10" s="31"/>
      <c r="O10" s="31"/>
      <c r="P10" s="31"/>
      <c r="Q10" s="31"/>
      <c r="R10" s="31"/>
    </row>
    <row r="11" customFormat="false" ht="15" hidden="false" customHeight="false" outlineLevel="0" collapsed="false">
      <c r="A11" s="27" t="s">
        <v>231</v>
      </c>
      <c r="B11" s="28" t="s">
        <v>261</v>
      </c>
      <c r="C11" s="29" t="n">
        <v>3</v>
      </c>
      <c r="D11" s="28" t="n">
        <v>10</v>
      </c>
      <c r="H11" s="31"/>
      <c r="I11" s="31"/>
      <c r="J11" s="31"/>
      <c r="K11" s="31"/>
      <c r="L11" s="31"/>
      <c r="M11" s="31"/>
      <c r="N11" s="31"/>
      <c r="O11" s="31"/>
      <c r="P11" s="31"/>
      <c r="Q11" s="31"/>
    </row>
    <row r="12" customFormat="false" ht="15" hidden="false" customHeight="false" outlineLevel="0" collapsed="false">
      <c r="A12" s="32" t="s">
        <v>262</v>
      </c>
      <c r="B12" s="28" t="s">
        <v>263</v>
      </c>
      <c r="C12" s="33"/>
      <c r="D12" s="28" t="n">
        <v>1</v>
      </c>
      <c r="R12" s="34"/>
    </row>
    <row r="13" customFormat="false" ht="15" hidden="false" customHeight="false" outlineLevel="0" collapsed="false">
      <c r="A13" s="27" t="s">
        <v>264</v>
      </c>
      <c r="B13" s="28" t="s">
        <v>265</v>
      </c>
      <c r="C13" s="29" t="n">
        <v>4</v>
      </c>
      <c r="D13" s="28" t="n">
        <v>13</v>
      </c>
      <c r="J13" s="35"/>
      <c r="K13" s="35"/>
      <c r="L13" s="35"/>
      <c r="M13" s="35"/>
      <c r="N13" s="35"/>
      <c r="O13" s="35"/>
      <c r="P13" s="35"/>
      <c r="Q13" s="35"/>
      <c r="R13" s="35"/>
      <c r="S13" s="35"/>
      <c r="T13" s="35"/>
      <c r="U13" s="35"/>
      <c r="V13" s="35"/>
    </row>
    <row r="14" customFormat="false" ht="15" hidden="false" customHeight="false" outlineLevel="0" collapsed="false">
      <c r="A14" s="27" t="s">
        <v>266</v>
      </c>
      <c r="B14" s="28" t="s">
        <v>265</v>
      </c>
      <c r="C14" s="29" t="n">
        <v>2.5</v>
      </c>
      <c r="D14" s="28" t="n">
        <v>9</v>
      </c>
      <c r="L14" s="35"/>
      <c r="M14" s="35"/>
      <c r="N14" s="35"/>
      <c r="O14" s="35"/>
      <c r="P14" s="35"/>
      <c r="Q14" s="35"/>
      <c r="R14" s="35"/>
      <c r="S14" s="35"/>
      <c r="T14" s="35"/>
    </row>
    <row r="15" customFormat="false" ht="15" hidden="false" customHeight="false" outlineLevel="0" collapsed="false">
      <c r="A15" s="27" t="s">
        <v>267</v>
      </c>
      <c r="B15" s="28" t="s">
        <v>265</v>
      </c>
      <c r="C15" s="29" t="n">
        <v>5</v>
      </c>
      <c r="D15" s="28" t="n">
        <v>13</v>
      </c>
      <c r="N15" s="35"/>
      <c r="O15" s="35"/>
      <c r="P15" s="35"/>
      <c r="Q15" s="35"/>
      <c r="R15" s="35"/>
      <c r="S15" s="35"/>
      <c r="T15" s="35"/>
      <c r="U15" s="35"/>
      <c r="V15" s="35"/>
      <c r="W15" s="35"/>
      <c r="X15" s="35"/>
      <c r="Y15" s="35"/>
      <c r="Z15" s="35"/>
    </row>
    <row r="16" customFormat="false" ht="15" hidden="false" customHeight="false" outlineLevel="0" collapsed="false">
      <c r="A16" s="27" t="s">
        <v>268</v>
      </c>
      <c r="B16" s="28" t="s">
        <v>265</v>
      </c>
      <c r="C16" s="29" t="n">
        <v>8</v>
      </c>
      <c r="D16" s="28" t="n">
        <v>17</v>
      </c>
      <c r="L16" s="35"/>
      <c r="M16" s="35"/>
      <c r="N16" s="35"/>
      <c r="O16" s="35"/>
      <c r="P16" s="35"/>
      <c r="Q16" s="35"/>
      <c r="R16" s="35"/>
      <c r="S16" s="35"/>
      <c r="T16" s="35"/>
      <c r="U16" s="35"/>
      <c r="V16" s="35"/>
      <c r="W16" s="35"/>
      <c r="X16" s="35"/>
      <c r="Y16" s="35"/>
      <c r="Z16" s="35"/>
      <c r="AA16" s="35"/>
      <c r="AB16" s="35"/>
    </row>
    <row r="17" customFormat="false" ht="15" hidden="false" customHeight="false" outlineLevel="0" collapsed="false">
      <c r="A17" s="27" t="s">
        <v>269</v>
      </c>
      <c r="B17" s="28" t="s">
        <v>265</v>
      </c>
      <c r="C17" s="29" t="n">
        <v>2</v>
      </c>
      <c r="D17" s="28" t="n">
        <v>9</v>
      </c>
      <c r="P17" s="35"/>
      <c r="Q17" s="35"/>
      <c r="R17" s="35"/>
      <c r="S17" s="35"/>
      <c r="T17" s="35"/>
      <c r="U17" s="35"/>
      <c r="V17" s="35"/>
      <c r="W17" s="35"/>
      <c r="X17" s="35"/>
    </row>
    <row r="18" customFormat="false" ht="15" hidden="false" customHeight="false" outlineLevel="0" collapsed="false">
      <c r="A18" s="27" t="s">
        <v>270</v>
      </c>
      <c r="B18" s="28" t="s">
        <v>265</v>
      </c>
      <c r="C18" s="29" t="n">
        <v>2</v>
      </c>
      <c r="D18" s="28" t="n">
        <v>10</v>
      </c>
      <c r="P18" s="35"/>
      <c r="Q18" s="35"/>
      <c r="R18" s="35"/>
      <c r="S18" s="35"/>
      <c r="T18" s="35"/>
      <c r="U18" s="35"/>
      <c r="V18" s="35"/>
      <c r="W18" s="35"/>
      <c r="X18" s="35"/>
      <c r="Y18" s="35"/>
    </row>
    <row r="19" customFormat="false" ht="15" hidden="false" customHeight="false" outlineLevel="0" collapsed="false">
      <c r="A19" s="27" t="s">
        <v>271</v>
      </c>
      <c r="B19" s="28" t="s">
        <v>265</v>
      </c>
      <c r="C19" s="29" t="n">
        <v>1</v>
      </c>
      <c r="D19" s="28" t="n">
        <v>5</v>
      </c>
      <c r="R19" s="35"/>
      <c r="S19" s="35"/>
      <c r="T19" s="35"/>
      <c r="U19" s="35"/>
      <c r="V19" s="35"/>
    </row>
    <row r="20" customFormat="false" ht="15" hidden="false" customHeight="false" outlineLevel="0" collapsed="false">
      <c r="A20" s="27" t="s">
        <v>272</v>
      </c>
      <c r="B20" s="28" t="s">
        <v>273</v>
      </c>
      <c r="C20" s="29" t="n">
        <v>3</v>
      </c>
      <c r="D20" s="28" t="n">
        <v>16</v>
      </c>
      <c r="N20" s="36"/>
      <c r="O20" s="36"/>
      <c r="P20" s="36"/>
      <c r="Q20" s="36"/>
      <c r="R20" s="36"/>
      <c r="S20" s="36"/>
      <c r="T20" s="36"/>
      <c r="U20" s="36"/>
      <c r="V20" s="36"/>
      <c r="W20" s="36"/>
      <c r="X20" s="36"/>
      <c r="Y20" s="36"/>
      <c r="Z20" s="36"/>
      <c r="AA20" s="36"/>
      <c r="AB20" s="36"/>
      <c r="AC20" s="36"/>
    </row>
    <row r="21" customFormat="false" ht="15" hidden="false" customHeight="false" outlineLevel="0" collapsed="false">
      <c r="A21" s="27" t="s">
        <v>274</v>
      </c>
      <c r="B21" s="28" t="s">
        <v>273</v>
      </c>
      <c r="C21" s="29" t="n">
        <v>1.5</v>
      </c>
      <c r="D21" s="28" t="n">
        <v>15</v>
      </c>
      <c r="J21" s="36"/>
      <c r="K21" s="36"/>
      <c r="L21" s="36"/>
      <c r="M21" s="36"/>
      <c r="N21" s="36"/>
      <c r="O21" s="36"/>
      <c r="P21" s="36"/>
      <c r="Q21" s="36"/>
      <c r="R21" s="36"/>
      <c r="S21" s="36"/>
      <c r="T21" s="36"/>
      <c r="U21" s="36"/>
      <c r="V21" s="36"/>
      <c r="W21" s="36"/>
      <c r="X21" s="36"/>
    </row>
    <row r="22" customFormat="false" ht="15" hidden="false" customHeight="false" outlineLevel="0" collapsed="false">
      <c r="A22" s="27" t="s">
        <v>275</v>
      </c>
      <c r="B22" s="28" t="s">
        <v>276</v>
      </c>
      <c r="C22" s="29" t="n">
        <v>4</v>
      </c>
      <c r="D22" s="28" t="n">
        <v>24</v>
      </c>
      <c r="E22" s="37"/>
      <c r="F22" s="37"/>
      <c r="G22" s="37"/>
      <c r="H22" s="37"/>
      <c r="I22" s="37"/>
      <c r="J22" s="37"/>
      <c r="K22" s="37"/>
      <c r="L22" s="37"/>
      <c r="M22" s="37"/>
      <c r="N22" s="37"/>
      <c r="O22" s="37"/>
      <c r="P22" s="37"/>
      <c r="Q22" s="37"/>
      <c r="R22" s="37"/>
      <c r="S22" s="37"/>
      <c r="T22" s="37"/>
      <c r="U22" s="37"/>
      <c r="V22" s="37"/>
      <c r="W22" s="37"/>
      <c r="X22" s="37"/>
      <c r="Y22" s="37"/>
      <c r="Z22" s="37"/>
      <c r="AA22" s="37"/>
      <c r="AB22" s="37"/>
    </row>
    <row r="23" customFormat="false" ht="15" hidden="false" customHeight="false" outlineLevel="0" collapsed="false">
      <c r="A23" s="32" t="s">
        <v>277</v>
      </c>
      <c r="B23" s="28" t="s">
        <v>263</v>
      </c>
      <c r="C23" s="33"/>
      <c r="D23" s="28" t="n">
        <v>1</v>
      </c>
      <c r="AB23" s="34"/>
    </row>
    <row r="24" customFormat="false" ht="15" hidden="false" customHeight="false" outlineLevel="0" collapsed="false">
      <c r="A24" s="27" t="s">
        <v>278</v>
      </c>
      <c r="B24" s="28" t="s">
        <v>276</v>
      </c>
      <c r="C24" s="29" t="n">
        <v>10</v>
      </c>
      <c r="D24" s="28" t="n">
        <v>13</v>
      </c>
      <c r="R24" s="37"/>
      <c r="S24" s="37"/>
      <c r="T24" s="37"/>
      <c r="U24" s="37"/>
      <c r="V24" s="37"/>
      <c r="W24" s="37"/>
      <c r="X24" s="37"/>
      <c r="Y24" s="37"/>
      <c r="Z24" s="37"/>
      <c r="AA24" s="37"/>
      <c r="AB24" s="37"/>
      <c r="AC24" s="37"/>
      <c r="AD24" s="37"/>
    </row>
    <row r="25" customFormat="false" ht="15" hidden="false" customHeight="false" outlineLevel="0" collapsed="false">
      <c r="A25" s="27" t="s">
        <v>279</v>
      </c>
      <c r="B25" s="28" t="s">
        <v>276</v>
      </c>
      <c r="C25" s="29" t="n">
        <v>8</v>
      </c>
      <c r="D25" s="28" t="n">
        <v>34</v>
      </c>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row>
    <row r="26" customFormat="false" ht="15" hidden="false" customHeight="false" outlineLevel="0" collapsed="false">
      <c r="A26" s="32" t="s">
        <v>280</v>
      </c>
      <c r="B26" s="28" t="s">
        <v>263</v>
      </c>
      <c r="C26" s="33"/>
      <c r="D26" s="28" t="n">
        <v>1</v>
      </c>
      <c r="AD26" s="34"/>
    </row>
    <row r="27" customFormat="false" ht="15" hidden="false" customHeight="false" outlineLevel="0" collapsed="false">
      <c r="A27" s="27" t="s">
        <v>281</v>
      </c>
      <c r="B27" s="28" t="s">
        <v>276</v>
      </c>
      <c r="C27" s="29" t="n">
        <v>5</v>
      </c>
      <c r="D27" s="28" t="n">
        <v>9</v>
      </c>
      <c r="AD27" s="37"/>
      <c r="AE27" s="37"/>
      <c r="AF27" s="37"/>
      <c r="AG27" s="37"/>
      <c r="AH27" s="37"/>
      <c r="AI27" s="37"/>
      <c r="AJ27" s="37"/>
      <c r="AK27" s="37"/>
      <c r="AL27" s="37"/>
    </row>
    <row r="28" customFormat="false" ht="15" hidden="false" customHeight="false" outlineLevel="0" collapsed="false">
      <c r="A28" s="32" t="s">
        <v>282</v>
      </c>
      <c r="B28" s="28" t="s">
        <v>263</v>
      </c>
      <c r="C28" s="33"/>
      <c r="D28" s="28" t="n">
        <v>1</v>
      </c>
      <c r="AL28" s="34"/>
    </row>
    <row r="29" customFormat="false" ht="15" hidden="false" customHeight="false" outlineLevel="0" collapsed="false">
      <c r="A29" s="38" t="s">
        <v>283</v>
      </c>
      <c r="B29" s="39"/>
      <c r="C29" s="40" t="n">
        <f aca="false">SUM(C5:C28)</f>
        <v>71.5</v>
      </c>
      <c r="D29" s="39"/>
    </row>
    <row r="31" customFormat="false" ht="15" hidden="false" customHeight="false" outlineLevel="0" collapsed="false">
      <c r="A31" s="41" t="s">
        <v>284</v>
      </c>
    </row>
    <row r="32" customFormat="false" ht="15" hidden="false" customHeight="false" outlineLevel="0" collapsed="false">
      <c r="A32" s="42" t="s">
        <v>285</v>
      </c>
    </row>
    <row r="33" customFormat="false" ht="15" hidden="false" customHeight="false" outlineLevel="0" collapsed="false">
      <c r="A33" s="42" t="s">
        <v>286</v>
      </c>
    </row>
    <row r="34" customFormat="false" ht="15" hidden="false" customHeight="false" outlineLevel="0" collapsed="false">
      <c r="A34" s="42" t="s">
        <v>287</v>
      </c>
    </row>
  </sheetData>
  <mergeCells count="1">
    <mergeCell ref="A2:AZ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4"/>
    <col collapsed="false" customWidth="true" hidden="false" outlineLevel="0" max="3" min="3" style="0" width="20"/>
    <col collapsed="false" customWidth="true" hidden="false" outlineLevel="0" max="4" min="4" style="0" width="13"/>
    <col collapsed="false" customWidth="true" hidden="false" outlineLevel="0" max="5" min="5" style="0" width="18"/>
    <col collapsed="false" customWidth="true" hidden="false" outlineLevel="0" max="6" min="6" style="0" width="62"/>
  </cols>
  <sheetData>
    <row r="1" customFormat="false" ht="17.35" hidden="false" customHeight="false" outlineLevel="0" collapsed="false">
      <c r="A1" s="22" t="s">
        <v>288</v>
      </c>
    </row>
    <row r="2" customFormat="false" ht="31.5" hidden="false" customHeight="true" outlineLevel="0" collapsed="false">
      <c r="A2" s="23" t="s">
        <v>289</v>
      </c>
      <c r="B2" s="23"/>
      <c r="C2" s="23"/>
      <c r="D2" s="23"/>
      <c r="E2" s="23"/>
      <c r="F2" s="23"/>
    </row>
    <row r="4" customFormat="false" ht="30" hidden="false" customHeight="true" outlineLevel="0" collapsed="false">
      <c r="A4" s="43" t="s">
        <v>290</v>
      </c>
      <c r="B4" s="43" t="s">
        <v>291</v>
      </c>
      <c r="C4" s="43" t="s">
        <v>292</v>
      </c>
      <c r="D4" s="43" t="s">
        <v>293</v>
      </c>
      <c r="E4" s="43" t="s">
        <v>294</v>
      </c>
      <c r="F4" s="43" t="s">
        <v>295</v>
      </c>
    </row>
    <row r="5" customFormat="false" ht="24" hidden="false" customHeight="true" outlineLevel="0" collapsed="false">
      <c r="A5" s="44" t="s">
        <v>296</v>
      </c>
      <c r="B5" s="45" t="s">
        <v>297</v>
      </c>
      <c r="C5" s="45" t="s">
        <v>298</v>
      </c>
      <c r="D5" s="46" t="n">
        <v>5</v>
      </c>
      <c r="E5" s="47" t="n">
        <f aca="false">D5*Assumptions!$B$10</f>
        <v>183750</v>
      </c>
      <c r="F5" s="48" t="s">
        <v>299</v>
      </c>
    </row>
    <row r="6" customFormat="false" ht="13.5" hidden="false" customHeight="true" outlineLevel="0" collapsed="false">
      <c r="A6" s="44" t="s">
        <v>300</v>
      </c>
      <c r="B6" s="45" t="s">
        <v>301</v>
      </c>
      <c r="C6" s="45" t="s">
        <v>298</v>
      </c>
      <c r="D6" s="46" t="n">
        <v>3</v>
      </c>
      <c r="E6" s="47" t="n">
        <f aca="false">D6*Assumptions!$B$10</f>
        <v>110250</v>
      </c>
      <c r="F6" s="48" t="s">
        <v>302</v>
      </c>
    </row>
    <row r="7" customFormat="false" ht="13.5" hidden="false" customHeight="true" outlineLevel="0" collapsed="false">
      <c r="A7" s="44" t="s">
        <v>303</v>
      </c>
      <c r="B7" s="45" t="s">
        <v>304</v>
      </c>
      <c r="C7" s="45" t="s">
        <v>298</v>
      </c>
      <c r="D7" s="46" t="n">
        <v>2</v>
      </c>
      <c r="E7" s="47" t="n">
        <f aca="false">D7*Assumptions!$B$10</f>
        <v>73500</v>
      </c>
      <c r="F7" s="48" t="s">
        <v>305</v>
      </c>
    </row>
    <row r="8" customFormat="false" ht="24" hidden="false" customHeight="true" outlineLevel="0" collapsed="false">
      <c r="A8" s="44" t="s">
        <v>306</v>
      </c>
      <c r="B8" s="45" t="s">
        <v>307</v>
      </c>
      <c r="C8" s="45" t="s">
        <v>298</v>
      </c>
      <c r="D8" s="46" t="n">
        <v>7</v>
      </c>
      <c r="E8" s="47" t="n">
        <f aca="false">D8*Assumptions!$B$10</f>
        <v>257250</v>
      </c>
      <c r="F8" s="48" t="s">
        <v>308</v>
      </c>
    </row>
    <row r="9" customFormat="false" ht="24" hidden="false" customHeight="true" outlineLevel="0" collapsed="false">
      <c r="A9" s="44" t="s">
        <v>309</v>
      </c>
      <c r="B9" s="45" t="s">
        <v>310</v>
      </c>
      <c r="C9" s="45" t="s">
        <v>298</v>
      </c>
      <c r="D9" s="46" t="n">
        <v>3</v>
      </c>
      <c r="E9" s="47" t="n">
        <f aca="false">D9*Assumptions!$B$10</f>
        <v>110250</v>
      </c>
      <c r="F9" s="48" t="s">
        <v>311</v>
      </c>
    </row>
    <row r="10" customFormat="false" ht="24" hidden="false" customHeight="true" outlineLevel="0" collapsed="false">
      <c r="A10" s="44" t="s">
        <v>312</v>
      </c>
      <c r="B10" s="45" t="s">
        <v>313</v>
      </c>
      <c r="C10" s="45" t="s">
        <v>298</v>
      </c>
      <c r="D10" s="46" t="n">
        <v>3</v>
      </c>
      <c r="E10" s="47" t="n">
        <f aca="false">D10*Assumptions!$B$10</f>
        <v>110250</v>
      </c>
      <c r="F10" s="48" t="s">
        <v>314</v>
      </c>
    </row>
    <row r="11" customFormat="false" ht="24" hidden="false" customHeight="true" outlineLevel="0" collapsed="false">
      <c r="A11" s="44" t="s">
        <v>315</v>
      </c>
      <c r="B11" s="45"/>
      <c r="C11" s="45" t="s">
        <v>298</v>
      </c>
      <c r="D11" s="46" t="n">
        <v>5</v>
      </c>
      <c r="E11" s="47" t="n">
        <f aca="false">D11*Assumptions!$B$10</f>
        <v>183750</v>
      </c>
      <c r="F11" s="48" t="s">
        <v>316</v>
      </c>
    </row>
    <row r="12" customFormat="false" ht="13.5" hidden="false" customHeight="true" outlineLevel="0" collapsed="false">
      <c r="A12" s="44" t="s">
        <v>317</v>
      </c>
      <c r="B12" s="45"/>
      <c r="C12" s="45" t="s">
        <v>298</v>
      </c>
      <c r="D12" s="46" t="n">
        <v>2</v>
      </c>
      <c r="E12" s="47" t="n">
        <f aca="false">D12*Assumptions!$B$10</f>
        <v>73500</v>
      </c>
      <c r="F12" s="48" t="s">
        <v>318</v>
      </c>
    </row>
    <row r="13" customFormat="false" ht="13.5" hidden="false" customHeight="true" outlineLevel="0" collapsed="false">
      <c r="A13" s="44" t="s">
        <v>319</v>
      </c>
      <c r="B13" s="45"/>
      <c r="C13" s="45" t="s">
        <v>298</v>
      </c>
      <c r="D13" s="46" t="n">
        <v>1.5</v>
      </c>
      <c r="E13" s="47" t="n">
        <f aca="false">D13*Assumptions!$B$10</f>
        <v>55125</v>
      </c>
      <c r="F13" s="48" t="s">
        <v>320</v>
      </c>
    </row>
    <row r="14" customFormat="false" ht="24" hidden="false" customHeight="true" outlineLevel="0" collapsed="false">
      <c r="A14" s="44" t="s">
        <v>321</v>
      </c>
      <c r="B14" s="45"/>
      <c r="C14" s="45" t="s">
        <v>298</v>
      </c>
      <c r="D14" s="46" t="n">
        <v>1</v>
      </c>
      <c r="E14" s="47" t="n">
        <f aca="false">D14*Assumptions!$B$10</f>
        <v>36750</v>
      </c>
      <c r="F14" s="48" t="s">
        <v>322</v>
      </c>
    </row>
    <row r="15" customFormat="false" ht="24" hidden="false" customHeight="true" outlineLevel="0" collapsed="false">
      <c r="A15" s="44" t="s">
        <v>323</v>
      </c>
      <c r="B15" s="45"/>
      <c r="C15" s="45" t="s">
        <v>324</v>
      </c>
      <c r="D15" s="46" t="n">
        <v>8</v>
      </c>
      <c r="E15" s="47" t="n">
        <f aca="false">D15*Assumptions!$B$10</f>
        <v>294000</v>
      </c>
      <c r="F15" s="48" t="s">
        <v>325</v>
      </c>
    </row>
    <row r="16" customFormat="false" ht="24" hidden="false" customHeight="true" outlineLevel="0" collapsed="false">
      <c r="A16" s="44" t="s">
        <v>326</v>
      </c>
      <c r="B16" s="45"/>
      <c r="C16" s="45" t="s">
        <v>324</v>
      </c>
      <c r="D16" s="46" t="n">
        <v>8</v>
      </c>
      <c r="E16" s="47" t="n">
        <f aca="false">D16*Assumptions!$B$10</f>
        <v>294000</v>
      </c>
      <c r="F16" s="48" t="s">
        <v>327</v>
      </c>
    </row>
    <row r="17" customFormat="false" ht="24" hidden="false" customHeight="true" outlineLevel="0" collapsed="false">
      <c r="A17" s="49" t="s">
        <v>328</v>
      </c>
      <c r="B17" s="45"/>
      <c r="C17" s="45" t="s">
        <v>324</v>
      </c>
      <c r="D17" s="46" t="n">
        <v>8</v>
      </c>
      <c r="E17" s="47" t="n">
        <f aca="false">D17*Assumptions!$B$10</f>
        <v>294000</v>
      </c>
      <c r="F17" s="48" t="s">
        <v>329</v>
      </c>
    </row>
    <row r="18" customFormat="false" ht="13.5" hidden="false" customHeight="true" outlineLevel="0" collapsed="false">
      <c r="A18" s="44" t="s">
        <v>330</v>
      </c>
      <c r="B18" s="45"/>
      <c r="C18" s="45" t="s">
        <v>324</v>
      </c>
      <c r="D18" s="46" t="n">
        <v>5</v>
      </c>
      <c r="E18" s="47" t="n">
        <f aca="false">D18*Assumptions!$B$10</f>
        <v>183750</v>
      </c>
      <c r="F18" s="48" t="s">
        <v>331</v>
      </c>
    </row>
    <row r="19" customFormat="false" ht="13.5" hidden="false" customHeight="true" outlineLevel="0" collapsed="false">
      <c r="A19" s="44" t="s">
        <v>332</v>
      </c>
      <c r="B19" s="45"/>
      <c r="C19" s="45" t="s">
        <v>324</v>
      </c>
      <c r="D19" s="46" t="n">
        <v>4</v>
      </c>
      <c r="E19" s="47" t="n">
        <f aca="false">D19*Assumptions!$B$10</f>
        <v>147000</v>
      </c>
      <c r="F19" s="48" t="s">
        <v>333</v>
      </c>
    </row>
    <row r="20" customFormat="false" ht="13.5" hidden="false" customHeight="true" outlineLevel="0" collapsed="false">
      <c r="A20" s="44" t="s">
        <v>334</v>
      </c>
      <c r="B20" s="45"/>
      <c r="C20" s="45" t="s">
        <v>324</v>
      </c>
      <c r="D20" s="46" t="n">
        <v>3</v>
      </c>
      <c r="E20" s="47" t="n">
        <f aca="false">D20*Assumptions!$B$10</f>
        <v>110250</v>
      </c>
      <c r="F20" s="48" t="s">
        <v>335</v>
      </c>
    </row>
    <row r="21" customFormat="false" ht="24" hidden="false" customHeight="true" outlineLevel="0" collapsed="false">
      <c r="A21" s="44" t="s">
        <v>336</v>
      </c>
      <c r="B21" s="45"/>
      <c r="C21" s="45" t="s">
        <v>324</v>
      </c>
      <c r="D21" s="46" t="n">
        <v>3</v>
      </c>
      <c r="E21" s="47" t="n">
        <f aca="false">D21*Assumptions!$B$10</f>
        <v>110250</v>
      </c>
      <c r="F21" s="48" t="s">
        <v>337</v>
      </c>
    </row>
    <row r="22" customFormat="false" ht="15" hidden="false" customHeight="false" outlineLevel="0" collapsed="false">
      <c r="A22" s="38" t="s">
        <v>283</v>
      </c>
      <c r="B22" s="39"/>
      <c r="C22" s="39"/>
      <c r="D22" s="40" t="n">
        <f aca="false">SUM(D5:D21)</f>
        <v>71.5</v>
      </c>
      <c r="E22" s="50" t="n">
        <f aca="false">SUM(E5:E21)</f>
        <v>2627625</v>
      </c>
      <c r="F22" s="39"/>
    </row>
    <row r="24" customFormat="false" ht="25.5" hidden="false" customHeight="true" outlineLevel="0" collapsed="false">
      <c r="A24" s="41" t="s">
        <v>338</v>
      </c>
      <c r="D24" s="51" t="n">
        <f aca="false">SUMIF(C5:C21,"US delivery centre",D5:D21)/D22</f>
        <v>0.545454545454545</v>
      </c>
      <c r="F24" s="52" t="s">
        <v>339</v>
      </c>
    </row>
    <row r="26" customFormat="false" ht="25.5" hidden="false" customHeight="true" outlineLevel="0" collapsed="false">
      <c r="A26" s="53" t="s">
        <v>340</v>
      </c>
      <c r="B26" s="53"/>
      <c r="C26" s="53"/>
      <c r="D26" s="53"/>
      <c r="E26" s="53"/>
      <c r="F26" s="53"/>
    </row>
    <row r="27" customFormat="false" ht="25.5" hidden="false" customHeight="true" outlineLevel="0" collapsed="false">
      <c r="A27" s="53" t="s">
        <v>341</v>
      </c>
      <c r="B27" s="53"/>
      <c r="C27" s="53"/>
      <c r="D27" s="53"/>
      <c r="E27" s="53"/>
      <c r="F27" s="53"/>
    </row>
    <row r="28" customFormat="false" ht="25.5" hidden="false" customHeight="true" outlineLevel="0" collapsed="false">
      <c r="A28" s="53" t="s">
        <v>342</v>
      </c>
      <c r="B28" s="53"/>
      <c r="C28" s="53"/>
      <c r="D28" s="53"/>
      <c r="E28" s="53"/>
      <c r="F28" s="53"/>
    </row>
  </sheetData>
  <mergeCells count="4">
    <mergeCell ref="A2:F2"/>
    <mergeCell ref="A26:F26"/>
    <mergeCell ref="A27:F27"/>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18"/>
    <col collapsed="false" customWidth="true" hidden="false" outlineLevel="0" max="7" min="7" style="0" width="15"/>
  </cols>
  <sheetData>
    <row r="1" customFormat="false" ht="17.35" hidden="false" customHeight="false" outlineLevel="0" collapsed="false">
      <c r="A1" s="22" t="s">
        <v>343</v>
      </c>
    </row>
    <row r="2" customFormat="false" ht="27.75" hidden="false" customHeight="true" outlineLevel="0" collapsed="false">
      <c r="A2" s="23" t="s">
        <v>344</v>
      </c>
      <c r="B2" s="23"/>
      <c r="C2" s="23"/>
      <c r="D2" s="23"/>
      <c r="E2" s="23"/>
      <c r="F2" s="23"/>
      <c r="G2" s="23"/>
    </row>
    <row r="4" customFormat="false" ht="27.75" hidden="false" customHeight="true" outlineLevel="0" collapsed="false">
      <c r="A4" s="43" t="s">
        <v>345</v>
      </c>
      <c r="B4" s="43" t="s">
        <v>293</v>
      </c>
      <c r="C4" s="43" t="s">
        <v>346</v>
      </c>
      <c r="D4" s="43" t="s">
        <v>347</v>
      </c>
      <c r="E4" s="43" t="s">
        <v>348</v>
      </c>
      <c r="F4" s="43" t="s">
        <v>349</v>
      </c>
      <c r="G4" s="43" t="s">
        <v>350</v>
      </c>
    </row>
    <row r="5" customFormat="false" ht="15" hidden="false" customHeight="false" outlineLevel="0" collapsed="false">
      <c r="A5" s="54" t="s">
        <v>351</v>
      </c>
      <c r="B5" s="55" t="n">
        <v>71.5</v>
      </c>
      <c r="C5" s="56" t="n">
        <f aca="false">B5*Assumptions!$B$10</f>
        <v>2627625</v>
      </c>
      <c r="D5" s="56" t="n">
        <f aca="false">Assumptions!$B$13</f>
        <v>530000</v>
      </c>
      <c r="E5" s="56" t="n">
        <f aca="false">C5+D5</f>
        <v>3157625</v>
      </c>
      <c r="F5" s="56" t="n">
        <f aca="false">E5/(1-Assumptions!$B$12)</f>
        <v>3508472.22222222</v>
      </c>
      <c r="G5" s="56" t="n">
        <v>3400000</v>
      </c>
    </row>
    <row r="6" customFormat="false" ht="15" hidden="false" customHeight="false" outlineLevel="0" collapsed="false">
      <c r="A6" s="44" t="s">
        <v>352</v>
      </c>
      <c r="B6" s="46" t="n">
        <v>65</v>
      </c>
      <c r="C6" s="47" t="n">
        <f aca="false">B6*Assumptions!$B$10</f>
        <v>2388750</v>
      </c>
      <c r="D6" s="47" t="n">
        <f aca="false">Assumptions!$B$14</f>
        <v>480000</v>
      </c>
      <c r="E6" s="47" t="n">
        <f aca="false">C6+D6</f>
        <v>2868750</v>
      </c>
      <c r="F6" s="47" t="n">
        <f aca="false">E6/(1-Assumptions!$B$12)</f>
        <v>3187500</v>
      </c>
      <c r="G6" s="47" t="n">
        <v>3400000</v>
      </c>
    </row>
    <row r="7" customFormat="false" ht="15" hidden="false" customHeight="false" outlineLevel="0" collapsed="false">
      <c r="A7" s="44" t="s">
        <v>353</v>
      </c>
      <c r="B7" s="46" t="n">
        <v>66</v>
      </c>
      <c r="C7" s="47" t="n">
        <f aca="false">B7*Assumptions!$B$10</f>
        <v>2425500</v>
      </c>
      <c r="D7" s="47" t="n">
        <f aca="false">Assumptions!$B$14</f>
        <v>480000</v>
      </c>
      <c r="E7" s="47" t="n">
        <f aca="false">C7+D7</f>
        <v>2905500</v>
      </c>
      <c r="F7" s="47" t="n">
        <f aca="false">E7/(1-Assumptions!$B$12)</f>
        <v>3228333.33333333</v>
      </c>
      <c r="G7" s="47" t="n">
        <v>3500000</v>
      </c>
    </row>
    <row r="8" customFormat="false" ht="15" hidden="false" customHeight="false" outlineLevel="0" collapsed="false">
      <c r="A8" s="44" t="s">
        <v>354</v>
      </c>
      <c r="B8" s="46" t="n">
        <v>60</v>
      </c>
      <c r="C8" s="47" t="n">
        <f aca="false">B8*Assumptions!$B$10</f>
        <v>2205000</v>
      </c>
      <c r="D8" s="47" t="n">
        <f aca="false">Assumptions!$B$14</f>
        <v>480000</v>
      </c>
      <c r="E8" s="47" t="n">
        <f aca="false">C8+D8</f>
        <v>2685000</v>
      </c>
      <c r="F8" s="47" t="n">
        <f aca="false">E8/(1-Assumptions!$B$12)</f>
        <v>2983333.33333333</v>
      </c>
      <c r="G8" s="47" t="n">
        <v>3500000</v>
      </c>
    </row>
    <row r="9" customFormat="false" ht="15" hidden="false" customHeight="false" outlineLevel="0" collapsed="false">
      <c r="A9" s="44" t="s">
        <v>355</v>
      </c>
      <c r="B9" s="46" t="n">
        <v>58</v>
      </c>
      <c r="C9" s="47" t="n">
        <f aca="false">B9*Assumptions!$B$10</f>
        <v>2131500</v>
      </c>
      <c r="D9" s="47" t="n">
        <f aca="false">Assumptions!$B$14</f>
        <v>480000</v>
      </c>
      <c r="E9" s="47" t="n">
        <f aca="false">C9+D9</f>
        <v>2611500</v>
      </c>
      <c r="F9" s="47" t="n">
        <f aca="false">E9/(1-Assumptions!$B$12)</f>
        <v>2901666.66666667</v>
      </c>
      <c r="G9" s="47" t="n">
        <v>3500000</v>
      </c>
    </row>
    <row r="10" customFormat="false" ht="15" hidden="false" customHeight="false" outlineLevel="0" collapsed="false">
      <c r="A10" s="38" t="s">
        <v>356</v>
      </c>
      <c r="B10" s="40" t="n">
        <f aca="false">SUM(B5:B6)</f>
        <v>136.5</v>
      </c>
      <c r="C10" s="50" t="n">
        <f aca="false">SUM(C5:C6)</f>
        <v>5016375</v>
      </c>
      <c r="D10" s="50" t="n">
        <f aca="false">SUM(D5:D6)</f>
        <v>1010000</v>
      </c>
      <c r="E10" s="50" t="n">
        <f aca="false">SUM(E5:E6)</f>
        <v>6026375</v>
      </c>
      <c r="F10" s="50" t="n">
        <f aca="false">SUM(F5:F6)</f>
        <v>6695972.22222222</v>
      </c>
      <c r="G10" s="50" t="n">
        <f aca="false">SUM(G5:G6)</f>
        <v>6800000</v>
      </c>
    </row>
    <row r="11" customFormat="false" ht="15" hidden="false" customHeight="false" outlineLevel="0" collapsed="false">
      <c r="A11" s="54" t="s">
        <v>357</v>
      </c>
      <c r="B11" s="57" t="n">
        <f aca="false">SUM(B5:B9)</f>
        <v>320.5</v>
      </c>
      <c r="C11" s="58" t="n">
        <f aca="false">SUM(C5:C9)</f>
        <v>11778375</v>
      </c>
      <c r="D11" s="58" t="n">
        <f aca="false">SUM(D5:D9)</f>
        <v>2450000</v>
      </c>
      <c r="E11" s="58" t="n">
        <f aca="false">SUM(E5:E9)</f>
        <v>14228375</v>
      </c>
      <c r="F11" s="58" t="n">
        <f aca="false">SUM(F5:F9)</f>
        <v>15809305.5555556</v>
      </c>
      <c r="G11" s="58" t="n">
        <f aca="false">SUM(G5:G9)</f>
        <v>17300000</v>
      </c>
    </row>
    <row r="13" customFormat="false" ht="15" hidden="false" customHeight="false" outlineLevel="0" collapsed="false">
      <c r="A13" s="41" t="s">
        <v>358</v>
      </c>
      <c r="F13" s="59" t="n">
        <f aca="false">G11-F11</f>
        <v>1490694.44444445</v>
      </c>
    </row>
    <row r="14" customFormat="false" ht="15" hidden="false" customHeight="false" outlineLevel="0" collapsed="false">
      <c r="A14" s="41" t="s">
        <v>359</v>
      </c>
      <c r="F14" s="60" t="n">
        <f aca="false">G5-F5</f>
        <v>-108472.222222222</v>
      </c>
    </row>
    <row r="16" customFormat="false" ht="15" hidden="false" customHeight="false" outlineLevel="0" collapsed="false">
      <c r="A16" s="61" t="s">
        <v>360</v>
      </c>
      <c r="B16" s="62"/>
      <c r="C16" s="62"/>
      <c r="D16" s="62"/>
      <c r="E16" s="62"/>
      <c r="F16" s="62"/>
      <c r="G16" s="62"/>
    </row>
    <row r="17" customFormat="false" ht="15" hidden="false" customHeight="false" outlineLevel="0" collapsed="false">
      <c r="A17" s="63" t="s">
        <v>361</v>
      </c>
      <c r="B17" s="64" t="n">
        <v>16</v>
      </c>
      <c r="C17" s="65" t="n">
        <f aca="false">B17*Assumptions!$B$10</f>
        <v>588000</v>
      </c>
    </row>
    <row r="18" customFormat="false" ht="15" hidden="false" customHeight="false" outlineLevel="0" collapsed="false">
      <c r="A18" s="63" t="s">
        <v>362</v>
      </c>
      <c r="B18" s="64" t="n">
        <v>20</v>
      </c>
      <c r="C18" s="65" t="n">
        <f aca="false">B18*Assumptions!$B$10</f>
        <v>735000</v>
      </c>
    </row>
    <row r="19" customFormat="false" ht="15" hidden="false" customHeight="false" outlineLevel="0" collapsed="false">
      <c r="A19" s="63" t="s">
        <v>363</v>
      </c>
      <c r="B19" s="64" t="n">
        <v>8</v>
      </c>
      <c r="C19" s="65" t="n">
        <f aca="false">B19*Assumptions!$B$10</f>
        <v>294000</v>
      </c>
    </row>
    <row r="20" customFormat="false" ht="15" hidden="false" customHeight="false" outlineLevel="0" collapsed="false">
      <c r="A20" s="63" t="s">
        <v>364</v>
      </c>
      <c r="B20" s="64" t="n">
        <v>7</v>
      </c>
      <c r="C20" s="65" t="n">
        <f aca="false">B20*Assumptions!$B$10</f>
        <v>257250</v>
      </c>
    </row>
    <row r="21" customFormat="false" ht="15" hidden="false" customHeight="false" outlineLevel="0" collapsed="false">
      <c r="A21" s="49" t="s">
        <v>365</v>
      </c>
      <c r="B21" s="66" t="n">
        <f aca="false">SUM(B17:B20)</f>
        <v>51</v>
      </c>
      <c r="C21" s="67" t="n">
        <f aca="false">SUM(C17:C20)</f>
        <v>1874250</v>
      </c>
    </row>
    <row r="23" customFormat="false" ht="30" hidden="false" customHeight="true" outlineLevel="0" collapsed="false">
      <c r="A23" s="53" t="s">
        <v>366</v>
      </c>
      <c r="B23" s="53"/>
      <c r="C23" s="53"/>
      <c r="D23" s="53"/>
      <c r="E23" s="53"/>
      <c r="F23" s="53"/>
      <c r="G23" s="53"/>
    </row>
    <row r="24" customFormat="false" ht="30" hidden="false" customHeight="true" outlineLevel="0" collapsed="false">
      <c r="A24" s="53" t="s">
        <v>367</v>
      </c>
      <c r="B24" s="53"/>
      <c r="C24" s="53"/>
      <c r="D24" s="53"/>
      <c r="E24" s="53"/>
      <c r="F24" s="53"/>
      <c r="G24" s="53"/>
    </row>
    <row r="25" customFormat="false" ht="30" hidden="false" customHeight="true" outlineLevel="0" collapsed="false">
      <c r="A25" s="53" t="s">
        <v>368</v>
      </c>
      <c r="B25" s="53"/>
      <c r="C25" s="53"/>
      <c r="D25" s="53"/>
      <c r="E25" s="53"/>
      <c r="F25" s="53"/>
      <c r="G25" s="53"/>
    </row>
  </sheetData>
  <mergeCells count="4">
    <mergeCell ref="A2:G2"/>
    <mergeCell ref="A23:G23"/>
    <mergeCell ref="A24:G24"/>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14"/>
    <col collapsed="false" customWidth="true" hidden="false" outlineLevel="0" max="3" min="3" style="1" width="16"/>
    <col collapsed="false" customWidth="true" hidden="false" outlineLevel="0" max="4" min="4" style="1" width="80"/>
  </cols>
  <sheetData>
    <row r="1" customFormat="false" ht="17.25" hidden="false" customHeight="true" outlineLevel="0" collapsed="false">
      <c r="A1" s="2" t="s">
        <v>369</v>
      </c>
    </row>
    <row r="2" customFormat="false" ht="15" hidden="false" customHeight="true" outlineLevel="0" collapsed="false">
      <c r="A2" s="3" t="s">
        <v>370</v>
      </c>
    </row>
    <row r="4" customFormat="false" ht="31.5" hidden="false" customHeight="true" outlineLevel="0" collapsed="false">
      <c r="A4" s="13" t="s">
        <v>371</v>
      </c>
      <c r="B4" s="13" t="s">
        <v>293</v>
      </c>
      <c r="C4" s="13" t="s">
        <v>372</v>
      </c>
      <c r="D4" s="13" t="s">
        <v>373</v>
      </c>
    </row>
    <row r="5" customFormat="false" ht="36" hidden="false" customHeight="true" outlineLevel="0" collapsed="false">
      <c r="A5" s="68" t="s">
        <v>374</v>
      </c>
      <c r="B5" s="69" t="n">
        <f aca="false">SUM(B6:B10)</f>
        <v>9.5</v>
      </c>
      <c r="C5" s="70" t="n">
        <f aca="false">SUM(C6:C10)</f>
        <v>349125</v>
      </c>
      <c r="D5" s="71" t="s">
        <v>375</v>
      </c>
    </row>
    <row r="6" customFormat="false" ht="24" hidden="false" customHeight="true" outlineLevel="0" collapsed="false">
      <c r="A6" s="14" t="s">
        <v>376</v>
      </c>
      <c r="B6" s="72" t="n">
        <v>3</v>
      </c>
      <c r="C6" s="73" t="n">
        <f aca="false">B6*Assumptions!$B$10</f>
        <v>110250</v>
      </c>
      <c r="D6" s="21"/>
    </row>
    <row r="7" customFormat="false" ht="24" hidden="false" customHeight="true" outlineLevel="0" collapsed="false">
      <c r="A7" s="14" t="s">
        <v>377</v>
      </c>
      <c r="B7" s="72" t="n">
        <v>2.5</v>
      </c>
      <c r="C7" s="73" t="n">
        <f aca="false">B7*Assumptions!$B$10</f>
        <v>91875</v>
      </c>
      <c r="D7" s="21"/>
    </row>
    <row r="8" customFormat="false" ht="24" hidden="false" customHeight="true" outlineLevel="0" collapsed="false">
      <c r="A8" s="14" t="s">
        <v>378</v>
      </c>
      <c r="B8" s="72" t="n">
        <v>1</v>
      </c>
      <c r="C8" s="73" t="n">
        <f aca="false">B8*Assumptions!$B$10</f>
        <v>36750</v>
      </c>
      <c r="D8" s="21"/>
    </row>
    <row r="9" customFormat="false" ht="13.5" hidden="false" customHeight="true" outlineLevel="0" collapsed="false">
      <c r="A9" s="14" t="s">
        <v>379</v>
      </c>
      <c r="B9" s="72" t="n">
        <v>1.5</v>
      </c>
      <c r="C9" s="73" t="n">
        <f aca="false">B9*Assumptions!$B$10</f>
        <v>55125</v>
      </c>
      <c r="D9" s="21"/>
    </row>
    <row r="10" customFormat="false" ht="24" hidden="false" customHeight="true" outlineLevel="0" collapsed="false">
      <c r="A10" s="14" t="s">
        <v>380</v>
      </c>
      <c r="B10" s="72" t="n">
        <v>1.5</v>
      </c>
      <c r="C10" s="73" t="n">
        <f aca="false">B10*Assumptions!$B$10</f>
        <v>55125</v>
      </c>
      <c r="D10" s="21"/>
    </row>
    <row r="11" customFormat="false" ht="24" hidden="false" customHeight="true" outlineLevel="0" collapsed="false">
      <c r="A11" s="68" t="s">
        <v>381</v>
      </c>
      <c r="B11" s="69" t="n">
        <f aca="false">SUM(B12:B13)</f>
        <v>6</v>
      </c>
      <c r="C11" s="70" t="n">
        <f aca="false">SUM(C12:C13)</f>
        <v>220500</v>
      </c>
      <c r="D11" s="71" t="s">
        <v>382</v>
      </c>
    </row>
    <row r="12" customFormat="false" ht="24" hidden="false" customHeight="true" outlineLevel="0" collapsed="false">
      <c r="A12" s="14" t="s">
        <v>383</v>
      </c>
      <c r="B12" s="72" t="n">
        <v>3</v>
      </c>
      <c r="C12" s="73" t="n">
        <f aca="false">B12*Assumptions!$B$10</f>
        <v>110250</v>
      </c>
      <c r="D12" s="21"/>
    </row>
    <row r="13" customFormat="false" ht="24" hidden="false" customHeight="true" outlineLevel="0" collapsed="false">
      <c r="A13" s="14" t="s">
        <v>384</v>
      </c>
      <c r="B13" s="72" t="n">
        <v>3</v>
      </c>
      <c r="C13" s="73" t="n">
        <f aca="false">B13*Assumptions!$B$10</f>
        <v>110250</v>
      </c>
      <c r="D13" s="21"/>
    </row>
    <row r="14" customFormat="false" ht="24" hidden="false" customHeight="true" outlineLevel="0" collapsed="false">
      <c r="A14" s="68" t="s">
        <v>385</v>
      </c>
      <c r="B14" s="69" t="n">
        <f aca="false">SUM(B15:B21)</f>
        <v>24.5</v>
      </c>
      <c r="C14" s="70" t="n">
        <f aca="false">SUM(C15:C21)</f>
        <v>900375</v>
      </c>
      <c r="D14" s="71" t="s">
        <v>386</v>
      </c>
    </row>
    <row r="15" customFormat="false" ht="24" hidden="false" customHeight="true" outlineLevel="0" collapsed="false">
      <c r="A15" s="14" t="s">
        <v>387</v>
      </c>
      <c r="B15" s="72" t="n">
        <v>8</v>
      </c>
      <c r="C15" s="73" t="n">
        <f aca="false">B15*Assumptions!$B$10</f>
        <v>294000</v>
      </c>
      <c r="D15" s="21"/>
    </row>
    <row r="16" customFormat="false" ht="24" hidden="false" customHeight="true" outlineLevel="0" collapsed="false">
      <c r="A16" s="14" t="s">
        <v>388</v>
      </c>
      <c r="B16" s="72" t="n">
        <v>5</v>
      </c>
      <c r="C16" s="73" t="n">
        <f aca="false">B16*Assumptions!$B$10</f>
        <v>183750</v>
      </c>
      <c r="D16" s="21"/>
    </row>
    <row r="17" customFormat="false" ht="24" hidden="false" customHeight="true" outlineLevel="0" collapsed="false">
      <c r="A17" s="14" t="s">
        <v>389</v>
      </c>
      <c r="B17" s="72" t="n">
        <v>4</v>
      </c>
      <c r="C17" s="73" t="n">
        <f aca="false">B17*Assumptions!$B$10</f>
        <v>147000</v>
      </c>
      <c r="D17" s="21"/>
    </row>
    <row r="18" customFormat="false" ht="24" hidden="false" customHeight="true" outlineLevel="0" collapsed="false">
      <c r="A18" s="14" t="s">
        <v>390</v>
      </c>
      <c r="B18" s="72" t="n">
        <v>2.5</v>
      </c>
      <c r="C18" s="73" t="n">
        <f aca="false">B18*Assumptions!$B$10</f>
        <v>91875</v>
      </c>
      <c r="D18" s="21"/>
    </row>
    <row r="19" customFormat="false" ht="24" hidden="false" customHeight="true" outlineLevel="0" collapsed="false">
      <c r="A19" s="14" t="s">
        <v>391</v>
      </c>
      <c r="B19" s="72" t="n">
        <v>2</v>
      </c>
      <c r="C19" s="73" t="n">
        <f aca="false">B19*Assumptions!$B$10</f>
        <v>73500</v>
      </c>
      <c r="D19" s="21"/>
    </row>
    <row r="20" customFormat="false" ht="24" hidden="false" customHeight="true" outlineLevel="0" collapsed="false">
      <c r="A20" s="14" t="s">
        <v>392</v>
      </c>
      <c r="B20" s="72" t="n">
        <v>2</v>
      </c>
      <c r="C20" s="73" t="n">
        <f aca="false">B20*Assumptions!$B$10</f>
        <v>73500</v>
      </c>
      <c r="D20" s="21"/>
    </row>
    <row r="21" customFormat="false" ht="24" hidden="false" customHeight="true" outlineLevel="0" collapsed="false">
      <c r="A21" s="14" t="s">
        <v>393</v>
      </c>
      <c r="B21" s="72" t="n">
        <v>1</v>
      </c>
      <c r="C21" s="73" t="n">
        <f aca="false">B21*Assumptions!$B$10</f>
        <v>36750</v>
      </c>
      <c r="D21" s="21"/>
    </row>
    <row r="22" customFormat="false" ht="24" hidden="false" customHeight="true" outlineLevel="0" collapsed="false">
      <c r="A22" s="68" t="s">
        <v>394</v>
      </c>
      <c r="B22" s="69" t="n">
        <f aca="false">SUM(B23:B24)</f>
        <v>4.5</v>
      </c>
      <c r="C22" s="70" t="n">
        <f aca="false">SUM(C23:C24)</f>
        <v>165375</v>
      </c>
      <c r="D22" s="71" t="s">
        <v>395</v>
      </c>
    </row>
    <row r="23" customFormat="false" ht="24" hidden="false" customHeight="true" outlineLevel="0" collapsed="false">
      <c r="A23" s="14" t="s">
        <v>396</v>
      </c>
      <c r="B23" s="72" t="n">
        <v>3</v>
      </c>
      <c r="C23" s="73" t="n">
        <f aca="false">B23*Assumptions!$B$10</f>
        <v>110250</v>
      </c>
      <c r="D23" s="21"/>
    </row>
    <row r="24" customFormat="false" ht="13.5" hidden="false" customHeight="true" outlineLevel="0" collapsed="false">
      <c r="A24" s="14" t="s">
        <v>397</v>
      </c>
      <c r="B24" s="72" t="n">
        <v>1.5</v>
      </c>
      <c r="C24" s="73" t="n">
        <f aca="false">B24*Assumptions!$B$10</f>
        <v>55125</v>
      </c>
      <c r="D24" s="21"/>
    </row>
    <row r="25" customFormat="false" ht="24" hidden="false" customHeight="true" outlineLevel="0" collapsed="false">
      <c r="A25" s="68" t="s">
        <v>398</v>
      </c>
      <c r="B25" s="69" t="n">
        <f aca="false">SUM(B26:B29)</f>
        <v>27</v>
      </c>
      <c r="C25" s="70" t="n">
        <f aca="false">SUM(C26:C29)</f>
        <v>992250</v>
      </c>
      <c r="D25" s="71" t="s">
        <v>399</v>
      </c>
    </row>
    <row r="26" customFormat="false" ht="24" hidden="false" customHeight="true" outlineLevel="0" collapsed="false">
      <c r="A26" s="14" t="s">
        <v>400</v>
      </c>
      <c r="B26" s="72" t="n">
        <v>4</v>
      </c>
      <c r="C26" s="73" t="n">
        <f aca="false">B26*Assumptions!$B$10</f>
        <v>147000</v>
      </c>
      <c r="D26" s="21"/>
    </row>
    <row r="27" customFormat="false" ht="24" hidden="false" customHeight="true" outlineLevel="0" collapsed="false">
      <c r="A27" s="14" t="s">
        <v>401</v>
      </c>
      <c r="B27" s="72" t="n">
        <v>10</v>
      </c>
      <c r="C27" s="73" t="n">
        <f aca="false">B27*Assumptions!$B$10</f>
        <v>367500</v>
      </c>
      <c r="D27" s="21"/>
    </row>
    <row r="28" customFormat="false" ht="24" hidden="false" customHeight="true" outlineLevel="0" collapsed="false">
      <c r="A28" s="14" t="s">
        <v>402</v>
      </c>
      <c r="B28" s="72" t="n">
        <v>8</v>
      </c>
      <c r="C28" s="73" t="n">
        <f aca="false">B28*Assumptions!$B$10</f>
        <v>294000</v>
      </c>
      <c r="D28" s="21"/>
    </row>
    <row r="29" customFormat="false" ht="24" hidden="false" customHeight="true" outlineLevel="0" collapsed="false">
      <c r="A29" s="14" t="s">
        <v>403</v>
      </c>
      <c r="B29" s="72" t="n">
        <v>5</v>
      </c>
      <c r="C29" s="73" t="n">
        <f aca="false">B29*Assumptions!$B$10</f>
        <v>183750</v>
      </c>
      <c r="D29" s="21"/>
    </row>
    <row r="30" customFormat="false" ht="15" hidden="false" customHeight="true" outlineLevel="0" collapsed="false">
      <c r="A30" s="68" t="s">
        <v>404</v>
      </c>
      <c r="B30" s="69" t="n">
        <f aca="false">B5+B11+B14+B22+B25</f>
        <v>71.5</v>
      </c>
      <c r="C30" s="70" t="n">
        <f aca="false">C5+C11+C14+C22+C25</f>
        <v>2627625</v>
      </c>
      <c r="D30" s="68"/>
    </row>
    <row r="32" customFormat="false" ht="43.5" hidden="false" customHeight="true" outlineLevel="0" collapsed="false">
      <c r="A32" s="23" t="s">
        <v>405</v>
      </c>
      <c r="B32" s="23"/>
      <c r="C32" s="23"/>
      <c r="D32" s="23"/>
    </row>
  </sheetData>
  <mergeCells count="1">
    <mergeCell ref="A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6"/>
    <col collapsed="false" customWidth="true" hidden="false" outlineLevel="0" max="3" min="3" style="1" width="11"/>
    <col collapsed="false" customWidth="true" hidden="false" outlineLevel="0" max="5" min="4" style="1" width="15"/>
    <col collapsed="false" customWidth="true" hidden="false" outlineLevel="0" max="7" min="6" style="1" width="14"/>
  </cols>
  <sheetData>
    <row r="1" customFormat="false" ht="17.25" hidden="false" customHeight="true" outlineLevel="0" collapsed="false">
      <c r="A1" s="2" t="s">
        <v>406</v>
      </c>
    </row>
    <row r="2" customFormat="false" ht="15" hidden="false" customHeight="true" outlineLevel="0" collapsed="false">
      <c r="A2" s="3" t="s">
        <v>407</v>
      </c>
    </row>
    <row r="4" customFormat="false" ht="31.5" hidden="false" customHeight="true" outlineLevel="0" collapsed="false">
      <c r="A4" s="13" t="s">
        <v>408</v>
      </c>
      <c r="B4" s="13" t="s">
        <v>345</v>
      </c>
      <c r="C4" s="13" t="s">
        <v>253</v>
      </c>
      <c r="D4" s="13" t="s">
        <v>372</v>
      </c>
      <c r="E4" s="13" t="s">
        <v>409</v>
      </c>
      <c r="F4" s="13" t="s">
        <v>410</v>
      </c>
      <c r="G4" s="13" t="s">
        <v>411</v>
      </c>
    </row>
    <row r="5" customFormat="false" ht="15" hidden="false" customHeight="true" outlineLevel="0" collapsed="false">
      <c r="B5" s="74" t="s">
        <v>412</v>
      </c>
      <c r="C5" s="75" t="n">
        <f aca="false">'CY2027 MVP'!$B$30</f>
        <v>71.5</v>
      </c>
      <c r="D5" s="76" t="n">
        <f aca="false">'CY2027 MVP'!$C$30+Assumptions!$B$13</f>
        <v>3157625</v>
      </c>
    </row>
    <row r="6" customFormat="false" ht="15" hidden="false" customHeight="true" outlineLevel="0" collapsed="false">
      <c r="A6" s="68" t="n">
        <v>2027</v>
      </c>
      <c r="B6" s="68" t="s">
        <v>413</v>
      </c>
      <c r="C6" s="69" t="n">
        <f aca="false">SUM(C5:C5)</f>
        <v>71.5</v>
      </c>
      <c r="D6" s="70" t="n">
        <f aca="false">SUM(D5:D5)</f>
        <v>3157625</v>
      </c>
      <c r="E6" s="70" t="n">
        <f aca="false">D6/(1-Assumptions!$B$12)</f>
        <v>3508472.22222222</v>
      </c>
      <c r="F6" s="70" t="n">
        <v>3400000</v>
      </c>
      <c r="G6" s="70" t="n">
        <f aca="false">F6-E6</f>
        <v>-108472.222222222</v>
      </c>
    </row>
    <row r="8" customFormat="false" ht="15" hidden="false" customHeight="true" outlineLevel="0" collapsed="false">
      <c r="B8" s="74" t="s">
        <v>414</v>
      </c>
      <c r="C8" s="77" t="n">
        <v>22</v>
      </c>
      <c r="D8" s="76" t="n">
        <f aca="false">C8*Assumptions!$B$10</f>
        <v>808500</v>
      </c>
    </row>
    <row r="9" customFormat="false" ht="15" hidden="false" customHeight="true" outlineLevel="0" collapsed="false">
      <c r="B9" s="74" t="s">
        <v>415</v>
      </c>
      <c r="C9" s="77" t="n">
        <v>12</v>
      </c>
      <c r="D9" s="76" t="n">
        <f aca="false">C9*Assumptions!$B$10</f>
        <v>441000</v>
      </c>
    </row>
    <row r="10" customFormat="false" ht="15" hidden="false" customHeight="true" outlineLevel="0" collapsed="false">
      <c r="B10" s="74" t="s">
        <v>416</v>
      </c>
      <c r="C10" s="77" t="n">
        <v>7</v>
      </c>
      <c r="D10" s="76" t="n">
        <f aca="false">C10*Assumptions!$B$10</f>
        <v>257250</v>
      </c>
    </row>
    <row r="11" customFormat="false" ht="15" hidden="false" customHeight="true" outlineLevel="0" collapsed="false">
      <c r="B11" s="74" t="s">
        <v>417</v>
      </c>
      <c r="C11" s="77" t="n">
        <v>12</v>
      </c>
      <c r="D11" s="76" t="n">
        <f aca="false">C11*Assumptions!$B$10</f>
        <v>441000</v>
      </c>
    </row>
    <row r="12" customFormat="false" ht="15" hidden="false" customHeight="true" outlineLevel="0" collapsed="false">
      <c r="B12" s="74" t="s">
        <v>418</v>
      </c>
      <c r="C12" s="77" t="n">
        <v>12</v>
      </c>
      <c r="D12" s="76" t="n">
        <f aca="false">C12*Assumptions!$B$10</f>
        <v>441000</v>
      </c>
    </row>
    <row r="13" customFormat="false" ht="15" hidden="false" customHeight="true" outlineLevel="0" collapsed="false">
      <c r="A13" s="68" t="n">
        <v>2028</v>
      </c>
      <c r="B13" s="68" t="s">
        <v>419</v>
      </c>
      <c r="C13" s="69" t="n">
        <f aca="false">SUM(C8:C12)</f>
        <v>65</v>
      </c>
      <c r="D13" s="70" t="n">
        <f aca="false">SUM(D8:D12)+Assumptions!$B$14</f>
        <v>2868750</v>
      </c>
      <c r="E13" s="70" t="n">
        <f aca="false">D13/(1-Assumptions!$B$12)</f>
        <v>3187500</v>
      </c>
      <c r="F13" s="70" t="n">
        <v>3400000</v>
      </c>
      <c r="G13" s="70" t="n">
        <f aca="false">F13-E13</f>
        <v>212500</v>
      </c>
    </row>
    <row r="15" customFormat="false" ht="15" hidden="false" customHeight="true" outlineLevel="0" collapsed="false">
      <c r="B15" s="74" t="s">
        <v>420</v>
      </c>
      <c r="C15" s="77" t="n">
        <v>22</v>
      </c>
      <c r="D15" s="76" t="n">
        <f aca="false">C15*Assumptions!$B$10</f>
        <v>808500</v>
      </c>
    </row>
    <row r="16" customFormat="false" ht="15" hidden="false" customHeight="true" outlineLevel="0" collapsed="false">
      <c r="B16" s="74" t="s">
        <v>421</v>
      </c>
      <c r="C16" s="77" t="n">
        <v>14</v>
      </c>
      <c r="D16" s="76" t="n">
        <f aca="false">C16*Assumptions!$B$10</f>
        <v>514500</v>
      </c>
    </row>
    <row r="17" customFormat="false" ht="15" hidden="false" customHeight="true" outlineLevel="0" collapsed="false">
      <c r="B17" s="74" t="s">
        <v>422</v>
      </c>
      <c r="C17" s="77" t="n">
        <v>14</v>
      </c>
      <c r="D17" s="76" t="n">
        <f aca="false">C17*Assumptions!$B$10</f>
        <v>514500</v>
      </c>
    </row>
    <row r="18" customFormat="false" ht="15" hidden="false" customHeight="true" outlineLevel="0" collapsed="false">
      <c r="B18" s="74" t="s">
        <v>423</v>
      </c>
      <c r="C18" s="77" t="n">
        <v>8</v>
      </c>
      <c r="D18" s="76" t="n">
        <f aca="false">C18*Assumptions!$B$10</f>
        <v>294000</v>
      </c>
    </row>
    <row r="19" customFormat="false" ht="15" hidden="false" customHeight="true" outlineLevel="0" collapsed="false">
      <c r="B19" s="74" t="s">
        <v>424</v>
      </c>
      <c r="C19" s="77" t="n">
        <v>8</v>
      </c>
      <c r="D19" s="76" t="n">
        <f aca="false">C19*Assumptions!$B$10</f>
        <v>294000</v>
      </c>
    </row>
    <row r="20" customFormat="false" ht="15" hidden="false" customHeight="true" outlineLevel="0" collapsed="false">
      <c r="A20" s="68" t="n">
        <v>2029</v>
      </c>
      <c r="B20" s="68" t="s">
        <v>425</v>
      </c>
      <c r="C20" s="69" t="n">
        <f aca="false">SUM(C15:C19)</f>
        <v>66</v>
      </c>
      <c r="D20" s="70" t="n">
        <f aca="false">SUM(D15:D19)+Assumptions!$B$14</f>
        <v>2905500</v>
      </c>
      <c r="E20" s="70" t="n">
        <f aca="false">D20/(1-Assumptions!$B$12)</f>
        <v>3228333.33333333</v>
      </c>
      <c r="F20" s="70" t="n">
        <v>3500000</v>
      </c>
      <c r="G20" s="70" t="n">
        <f aca="false">F20-E20</f>
        <v>271666.666666667</v>
      </c>
    </row>
    <row r="22" customFormat="false" ht="15" hidden="false" customHeight="true" outlineLevel="0" collapsed="false">
      <c r="B22" s="74" t="s">
        <v>420</v>
      </c>
      <c r="C22" s="77" t="n">
        <v>22</v>
      </c>
      <c r="D22" s="76" t="n">
        <f aca="false">C22*Assumptions!$B$10</f>
        <v>808500</v>
      </c>
    </row>
    <row r="23" customFormat="false" ht="15" hidden="false" customHeight="true" outlineLevel="0" collapsed="false">
      <c r="B23" s="74" t="s">
        <v>426</v>
      </c>
      <c r="C23" s="77" t="n">
        <v>12</v>
      </c>
      <c r="D23" s="76" t="n">
        <f aca="false">C23*Assumptions!$B$10</f>
        <v>441000</v>
      </c>
    </row>
    <row r="24" customFormat="false" ht="15" hidden="false" customHeight="true" outlineLevel="0" collapsed="false">
      <c r="B24" s="74" t="s">
        <v>427</v>
      </c>
      <c r="C24" s="77" t="n">
        <v>12</v>
      </c>
      <c r="D24" s="76" t="n">
        <f aca="false">C24*Assumptions!$B$10</f>
        <v>441000</v>
      </c>
    </row>
    <row r="25" customFormat="false" ht="15" hidden="false" customHeight="true" outlineLevel="0" collapsed="false">
      <c r="B25" s="74" t="s">
        <v>428</v>
      </c>
      <c r="C25" s="77" t="n">
        <v>10</v>
      </c>
      <c r="D25" s="76" t="n">
        <f aca="false">C25*Assumptions!$B$10</f>
        <v>367500</v>
      </c>
    </row>
    <row r="26" customFormat="false" ht="15" hidden="false" customHeight="true" outlineLevel="0" collapsed="false">
      <c r="B26" s="74" t="s">
        <v>429</v>
      </c>
      <c r="C26" s="77" t="n">
        <v>4</v>
      </c>
      <c r="D26" s="76" t="n">
        <f aca="false">C26*Assumptions!$B$10</f>
        <v>147000</v>
      </c>
    </row>
    <row r="27" customFormat="false" ht="15" hidden="false" customHeight="true" outlineLevel="0" collapsed="false">
      <c r="A27" s="68" t="n">
        <v>2030</v>
      </c>
      <c r="B27" s="68" t="s">
        <v>430</v>
      </c>
      <c r="C27" s="69" t="n">
        <f aca="false">SUM(C22:C26)</f>
        <v>60</v>
      </c>
      <c r="D27" s="70" t="n">
        <f aca="false">SUM(D22:D26)+Assumptions!$B$14</f>
        <v>2685000</v>
      </c>
      <c r="E27" s="70" t="n">
        <f aca="false">D27/(1-Assumptions!$B$12)</f>
        <v>2983333.33333333</v>
      </c>
      <c r="F27" s="70" t="n">
        <v>3500000</v>
      </c>
      <c r="G27" s="70" t="n">
        <f aca="false">F27-E27</f>
        <v>516666.666666667</v>
      </c>
    </row>
    <row r="29" customFormat="false" ht="15" hidden="false" customHeight="true" outlineLevel="0" collapsed="false">
      <c r="B29" s="74" t="s">
        <v>420</v>
      </c>
      <c r="C29" s="77" t="n">
        <v>22</v>
      </c>
      <c r="D29" s="76" t="n">
        <f aca="false">C29*Assumptions!$B$10</f>
        <v>808500</v>
      </c>
    </row>
    <row r="30" customFormat="false" ht="15" hidden="false" customHeight="true" outlineLevel="0" collapsed="false">
      <c r="B30" s="74" t="s">
        <v>431</v>
      </c>
      <c r="C30" s="77" t="n">
        <v>14</v>
      </c>
      <c r="D30" s="76" t="n">
        <f aca="false">C30*Assumptions!$B$10</f>
        <v>514500</v>
      </c>
    </row>
    <row r="31" customFormat="false" ht="15" hidden="false" customHeight="true" outlineLevel="0" collapsed="false">
      <c r="B31" s="74" t="s">
        <v>432</v>
      </c>
      <c r="C31" s="77" t="n">
        <v>8</v>
      </c>
      <c r="D31" s="76" t="n">
        <f aca="false">C31*Assumptions!$B$10</f>
        <v>294000</v>
      </c>
    </row>
    <row r="32" customFormat="false" ht="15" hidden="false" customHeight="true" outlineLevel="0" collapsed="false">
      <c r="B32" s="74" t="s">
        <v>433</v>
      </c>
      <c r="C32" s="77" t="n">
        <v>8</v>
      </c>
      <c r="D32" s="76" t="n">
        <f aca="false">C32*Assumptions!$B$10</f>
        <v>294000</v>
      </c>
    </row>
    <row r="33" customFormat="false" ht="15" hidden="false" customHeight="true" outlineLevel="0" collapsed="false">
      <c r="B33" s="74" t="s">
        <v>434</v>
      </c>
      <c r="C33" s="77" t="n">
        <v>6</v>
      </c>
      <c r="D33" s="76" t="n">
        <f aca="false">C33*Assumptions!$B$10</f>
        <v>220500</v>
      </c>
    </row>
    <row r="34" customFormat="false" ht="15" hidden="false" customHeight="true" outlineLevel="0" collapsed="false">
      <c r="A34" s="68" t="n">
        <v>2031</v>
      </c>
      <c r="B34" s="68" t="s">
        <v>435</v>
      </c>
      <c r="C34" s="69" t="n">
        <f aca="false">SUM(C29:C33)</f>
        <v>58</v>
      </c>
      <c r="D34" s="70" t="n">
        <f aca="false">SUM(D29:D33)+Assumptions!$B$14</f>
        <v>2611500</v>
      </c>
      <c r="E34" s="70" t="n">
        <f aca="false">D34/(1-Assumptions!$B$12)</f>
        <v>2901666.66666667</v>
      </c>
      <c r="F34" s="70" t="n">
        <v>3500000</v>
      </c>
      <c r="G34" s="70" t="n">
        <f aca="false">F34-E34</f>
        <v>598333.333333334</v>
      </c>
    </row>
    <row r="36" customFormat="false" ht="15" hidden="false" customHeight="true" outlineLevel="0" collapsed="false">
      <c r="A36" s="78"/>
      <c r="B36" s="16" t="s">
        <v>436</v>
      </c>
      <c r="C36" s="79" t="n">
        <f aca="false">C6+C13+C20+C27+C34</f>
        <v>320.5</v>
      </c>
      <c r="D36" s="80" t="n">
        <f aca="false">D6+D13+D20+D27+D34</f>
        <v>14228375</v>
      </c>
      <c r="E36" s="80" t="n">
        <f aca="false">E6+E13+E20+E27+E34</f>
        <v>15809305.5555556</v>
      </c>
      <c r="F36" s="80" t="n">
        <f aca="false">F6+F13+F20+F27+F34</f>
        <v>17300000</v>
      </c>
      <c r="G36" s="80" t="n">
        <f aca="false">G6+G13+G20+G27+G34</f>
        <v>1490694.44444445</v>
      </c>
    </row>
    <row r="38" customFormat="false" ht="15" hidden="false" customHeight="true" outlineLevel="0" collapsed="false">
      <c r="B38" s="81" t="s">
        <v>437</v>
      </c>
    </row>
    <row r="39" customFormat="false" ht="15" hidden="false" customHeight="true" outlineLevel="0" collapsed="false">
      <c r="A39" s="82"/>
      <c r="B39" s="83" t="s">
        <v>361</v>
      </c>
      <c r="C39" s="84" t="n">
        <v>16</v>
      </c>
      <c r="D39" s="85" t="n">
        <f aca="false">C39*Assumptions!$B$10</f>
        <v>588000</v>
      </c>
    </row>
    <row r="40" customFormat="false" ht="15" hidden="false" customHeight="true" outlineLevel="0" collapsed="false">
      <c r="A40" s="82"/>
      <c r="B40" s="83" t="s">
        <v>362</v>
      </c>
      <c r="C40" s="84" t="n">
        <v>20</v>
      </c>
      <c r="D40" s="85" t="n">
        <f aca="false">C40*Assumptions!$B$10</f>
        <v>735000</v>
      </c>
    </row>
    <row r="41" customFormat="false" ht="15" hidden="false" customHeight="true" outlineLevel="0" collapsed="false">
      <c r="A41" s="82"/>
      <c r="B41" s="83" t="s">
        <v>363</v>
      </c>
      <c r="C41" s="84" t="n">
        <v>8</v>
      </c>
      <c r="D41" s="85" t="n">
        <f aca="false">C41*Assumptions!$B$10</f>
        <v>294000</v>
      </c>
    </row>
    <row r="42" customFormat="false" ht="15" hidden="false" customHeight="true" outlineLevel="0" collapsed="false">
      <c r="A42" s="82"/>
      <c r="B42" s="83" t="s">
        <v>364</v>
      </c>
      <c r="C42" s="84" t="n">
        <v>7</v>
      </c>
      <c r="D42" s="85" t="n">
        <f aca="false">C42*Assumptions!$B$10</f>
        <v>257250</v>
      </c>
    </row>
    <row r="43" customFormat="false" ht="15" hidden="false" customHeight="true" outlineLevel="0" collapsed="false">
      <c r="A43" s="19"/>
      <c r="B43" s="19" t="s">
        <v>438</v>
      </c>
      <c r="C43" s="86" t="n">
        <f aca="false">SUM(C39:C42)</f>
        <v>51</v>
      </c>
      <c r="D43" s="87" t="n">
        <f aca="false">SUM(D39:D42)</f>
        <v>1874250</v>
      </c>
    </row>
    <row r="45" customFormat="false" ht="43.5" hidden="false" customHeight="true" outlineLevel="0" collapsed="false">
      <c r="B45" s="23" t="s">
        <v>439</v>
      </c>
      <c r="C45" s="23"/>
      <c r="D45" s="23"/>
      <c r="E45" s="23"/>
      <c r="F45" s="23"/>
      <c r="G45" s="23"/>
    </row>
  </sheetData>
  <mergeCells count="1">
    <mergeCell ref="B45:G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0"/>
    <col collapsed="false" customWidth="true" hidden="false" outlineLevel="0" max="3" min="3" style="1" width="26"/>
    <col collapsed="false" customWidth="true" hidden="false" outlineLevel="0" max="4" min="4" style="1" width="28"/>
    <col collapsed="false" customWidth="true" hidden="false" outlineLevel="0" max="5" min="5" style="1" width="12"/>
    <col collapsed="false" customWidth="true" hidden="false" outlineLevel="0" max="6" min="6" style="1" width="13"/>
    <col collapsed="false" customWidth="true" hidden="false" outlineLevel="0" max="7" min="7" style="1" width="12"/>
    <col collapsed="false" customWidth="true" hidden="false" outlineLevel="0" max="8" min="8" style="1" width="14"/>
    <col collapsed="false" customWidth="true" hidden="false" outlineLevel="0" max="9" min="9" style="1" width="60"/>
  </cols>
  <sheetData>
    <row r="1" customFormat="false" ht="17.25" hidden="false" customHeight="true" outlineLevel="0" collapsed="false">
      <c r="A1" s="2" t="s">
        <v>440</v>
      </c>
    </row>
    <row r="2" customFormat="false" ht="15" hidden="false" customHeight="true" outlineLevel="0" collapsed="false">
      <c r="A2" s="3" t="s">
        <v>441</v>
      </c>
    </row>
    <row r="4" customFormat="false" ht="31.5" hidden="false" customHeight="true" outlineLevel="0" collapsed="false">
      <c r="A4" s="13" t="s">
        <v>442</v>
      </c>
      <c r="B4" s="13" t="s">
        <v>443</v>
      </c>
      <c r="C4" s="13" t="s">
        <v>444</v>
      </c>
      <c r="D4" s="13" t="s">
        <v>445</v>
      </c>
      <c r="E4" s="13" t="s">
        <v>446</v>
      </c>
      <c r="F4" s="13" t="s">
        <v>447</v>
      </c>
      <c r="G4" s="13" t="s">
        <v>448</v>
      </c>
      <c r="H4" s="13" t="s">
        <v>449</v>
      </c>
      <c r="I4" s="13" t="s">
        <v>450</v>
      </c>
    </row>
    <row r="5" customFormat="false" ht="60" hidden="false" customHeight="true" outlineLevel="0" collapsed="false">
      <c r="A5" s="19" t="s">
        <v>451</v>
      </c>
      <c r="B5" s="14" t="s">
        <v>452</v>
      </c>
      <c r="C5" s="14" t="s">
        <v>453</v>
      </c>
      <c r="D5" s="14" t="s">
        <v>454</v>
      </c>
      <c r="E5" s="72" t="n">
        <v>8</v>
      </c>
      <c r="F5" s="72" t="n">
        <v>35</v>
      </c>
      <c r="G5" s="86" t="n">
        <f aca="false">F5-E5</f>
        <v>27</v>
      </c>
      <c r="H5" s="87" t="n">
        <f aca="false">G5*Assumptions!$B$10</f>
        <v>992250</v>
      </c>
      <c r="I5" s="14" t="s">
        <v>455</v>
      </c>
    </row>
    <row r="6" customFormat="false" ht="60" hidden="false" customHeight="true" outlineLevel="0" collapsed="false">
      <c r="A6" s="19" t="s">
        <v>456</v>
      </c>
      <c r="B6" s="14" t="s">
        <v>457</v>
      </c>
      <c r="C6" s="14" t="s">
        <v>458</v>
      </c>
      <c r="D6" s="14" t="s">
        <v>459</v>
      </c>
      <c r="E6" s="72" t="n">
        <v>4</v>
      </c>
      <c r="F6" s="72" t="n">
        <v>12</v>
      </c>
      <c r="G6" s="86" t="n">
        <f aca="false">F6-E6</f>
        <v>8</v>
      </c>
      <c r="H6" s="87" t="n">
        <f aca="false">G6*Assumptions!$B$10</f>
        <v>294000</v>
      </c>
      <c r="I6" s="14" t="s">
        <v>460</v>
      </c>
    </row>
    <row r="7" customFormat="false" ht="48" hidden="false" customHeight="true" outlineLevel="0" collapsed="false">
      <c r="A7" s="19" t="s">
        <v>461</v>
      </c>
      <c r="B7" s="14" t="s">
        <v>462</v>
      </c>
      <c r="C7" s="14" t="s">
        <v>463</v>
      </c>
      <c r="D7" s="14" t="s">
        <v>464</v>
      </c>
      <c r="E7" s="72" t="n">
        <v>2</v>
      </c>
      <c r="F7" s="72" t="n">
        <v>12</v>
      </c>
      <c r="G7" s="86" t="n">
        <f aca="false">F7-E7</f>
        <v>10</v>
      </c>
      <c r="H7" s="87" t="n">
        <f aca="false">G7*Assumptions!$B$10</f>
        <v>367500</v>
      </c>
      <c r="I7" s="14" t="s">
        <v>465</v>
      </c>
    </row>
    <row r="8" customFormat="false" ht="48" hidden="false" customHeight="true" outlineLevel="0" collapsed="false">
      <c r="A8" s="19" t="s">
        <v>466</v>
      </c>
      <c r="B8" s="14" t="s">
        <v>467</v>
      </c>
      <c r="C8" s="14" t="s">
        <v>468</v>
      </c>
      <c r="D8" s="14" t="s">
        <v>469</v>
      </c>
      <c r="E8" s="72" t="n">
        <v>1.5</v>
      </c>
      <c r="F8" s="72" t="n">
        <v>7</v>
      </c>
      <c r="G8" s="86" t="n">
        <f aca="false">F8-E8</f>
        <v>5.5</v>
      </c>
      <c r="H8" s="87" t="n">
        <f aca="false">G8*Assumptions!$B$10</f>
        <v>202125</v>
      </c>
      <c r="I8" s="14" t="s">
        <v>470</v>
      </c>
    </row>
    <row r="9" customFormat="false" ht="48" hidden="false" customHeight="true" outlineLevel="0" collapsed="false">
      <c r="A9" s="19" t="s">
        <v>471</v>
      </c>
      <c r="B9" s="14" t="s">
        <v>472</v>
      </c>
      <c r="C9" s="14" t="s">
        <v>458</v>
      </c>
      <c r="D9" s="14" t="s">
        <v>473</v>
      </c>
      <c r="E9" s="72" t="n">
        <v>3</v>
      </c>
      <c r="F9" s="72" t="n">
        <v>8</v>
      </c>
      <c r="G9" s="86" t="n">
        <f aca="false">F9-E9</f>
        <v>5</v>
      </c>
      <c r="H9" s="87" t="n">
        <f aca="false">G9*Assumptions!$B$10</f>
        <v>183750</v>
      </c>
      <c r="I9" s="14" t="s">
        <v>474</v>
      </c>
    </row>
    <row r="10" customFormat="false" ht="72" hidden="false" customHeight="true" outlineLevel="0" collapsed="false">
      <c r="A10" s="19" t="s">
        <v>475</v>
      </c>
      <c r="B10" s="14" t="s">
        <v>476</v>
      </c>
      <c r="C10" s="14" t="s">
        <v>477</v>
      </c>
      <c r="D10" s="14" t="s">
        <v>478</v>
      </c>
      <c r="E10" s="72" t="n">
        <v>2.5</v>
      </c>
      <c r="F10" s="72" t="n">
        <v>7</v>
      </c>
      <c r="G10" s="86" t="n">
        <f aca="false">F10-E10</f>
        <v>4.5</v>
      </c>
      <c r="H10" s="87" t="n">
        <f aca="false">G10*Assumptions!$B$10</f>
        <v>165375</v>
      </c>
      <c r="I10" s="14" t="s">
        <v>479</v>
      </c>
    </row>
    <row r="11" customFormat="false" ht="15" hidden="false" customHeight="true" outlineLevel="0" collapsed="false">
      <c r="A11" s="88"/>
      <c r="B11" s="88"/>
      <c r="C11" s="88"/>
      <c r="D11" s="68" t="s">
        <v>480</v>
      </c>
      <c r="E11" s="69" t="n">
        <f aca="false">SUM(E5:E10)</f>
        <v>21</v>
      </c>
      <c r="F11" s="69" t="n">
        <f aca="false">SUM(F5:F10)</f>
        <v>81</v>
      </c>
      <c r="G11" s="69" t="n">
        <f aca="false">SUM(G5:G10)</f>
        <v>60</v>
      </c>
      <c r="H11" s="70" t="n">
        <f aca="false">SUM(H5:H10)</f>
        <v>2205000</v>
      </c>
      <c r="I11" s="8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3" min="3" style="1" width="20"/>
    <col collapsed="false" customWidth="true" hidden="false" outlineLevel="0" max="4" min="4" style="1" width="24"/>
    <col collapsed="false" customWidth="true" hidden="false" outlineLevel="0" max="5" min="5" style="1" width="20"/>
    <col collapsed="false" customWidth="true" hidden="false" outlineLevel="0" max="6" min="6" style="1" width="24"/>
  </cols>
  <sheetData>
    <row r="1" customFormat="false" ht="17.25" hidden="false" customHeight="true" outlineLevel="0" collapsed="false">
      <c r="A1" s="2" t="s">
        <v>481</v>
      </c>
    </row>
    <row r="2" customFormat="false" ht="15" hidden="false" customHeight="true" outlineLevel="0" collapsed="false">
      <c r="A2" s="3" t="s">
        <v>482</v>
      </c>
    </row>
    <row r="3" customFormat="false" ht="15" hidden="false" customHeight="true" outlineLevel="0" collapsed="false">
      <c r="A3" s="3" t="s">
        <v>483</v>
      </c>
      <c r="D3" s="77" t="n">
        <v>184.5</v>
      </c>
    </row>
    <row r="4" customFormat="false" ht="31.5" hidden="false" customHeight="true" outlineLevel="0" collapsed="false">
      <c r="A4" s="13" t="s">
        <v>484</v>
      </c>
      <c r="B4" s="13" t="s">
        <v>485</v>
      </c>
      <c r="C4" s="13" t="s">
        <v>486</v>
      </c>
      <c r="D4" s="13" t="s">
        <v>487</v>
      </c>
      <c r="E4" s="13" t="s">
        <v>488</v>
      </c>
      <c r="F4" s="13" t="s">
        <v>489</v>
      </c>
    </row>
    <row r="5" customFormat="false" ht="15" hidden="false" customHeight="true" outlineLevel="0" collapsed="false">
      <c r="A5" s="89" t="n">
        <v>0.05</v>
      </c>
      <c r="B5" s="73" t="n">
        <f aca="false">('CY2027 MVP'!$C$30+Assumptions!$B$13)/(1-A5)</f>
        <v>3323815.78947368</v>
      </c>
      <c r="C5" s="73" t="n">
        <f aca="false">3400000-B5</f>
        <v>76184.2105263155</v>
      </c>
      <c r="D5" s="73" t="n">
        <f aca="false">($D$3*Assumptions!$B$10+Assumptions!$B$13)/(1-A5)</f>
        <v>7695131.57894737</v>
      </c>
      <c r="E5" s="73" t="n">
        <f aca="false">3400000-D5</f>
        <v>-4295131.57894737</v>
      </c>
      <c r="F5" s="90" t="n">
        <f aca="false">(3400000*(1-A5)-Assumptions!$B$13)/Assumptions!$B$10</f>
        <v>73.4693877551021</v>
      </c>
    </row>
    <row r="6" customFormat="false" ht="15" hidden="false" customHeight="true" outlineLevel="0" collapsed="false">
      <c r="A6" s="89" t="n">
        <v>0.075</v>
      </c>
      <c r="B6" s="73" t="n">
        <f aca="false">('CY2027 MVP'!$C$30+Assumptions!$B$13)/(1-A6)</f>
        <v>3413648.64864865</v>
      </c>
      <c r="C6" s="73" t="n">
        <f aca="false">3400000-B6</f>
        <v>-13648.6486486485</v>
      </c>
      <c r="D6" s="73" t="n">
        <f aca="false">($D$3*Assumptions!$B$10+Assumptions!$B$13)/(1-A6)</f>
        <v>7903108.10810811</v>
      </c>
      <c r="E6" s="73" t="n">
        <f aca="false">3400000-D6</f>
        <v>-4503108.10810811</v>
      </c>
      <c r="F6" s="90" t="n">
        <f aca="false">(3400000*(1-A6)-Assumptions!$B$13)/Assumptions!$B$10</f>
        <v>71.156462585034</v>
      </c>
    </row>
    <row r="7" customFormat="false" ht="15" hidden="false" customHeight="true" outlineLevel="0" collapsed="false">
      <c r="A7" s="91" t="n">
        <v>0.1</v>
      </c>
      <c r="B7" s="92" t="n">
        <f aca="false">('CY2027 MVP'!$C$30+Assumptions!$B$13)/(1-A7)</f>
        <v>3508472.22222222</v>
      </c>
      <c r="C7" s="92" t="n">
        <f aca="false">3400000-B7</f>
        <v>-108472.222222222</v>
      </c>
      <c r="D7" s="92" t="n">
        <f aca="false">($D$3*Assumptions!$B$10+Assumptions!$B$13)/(1-A7)</f>
        <v>8122638.88888889</v>
      </c>
      <c r="E7" s="92" t="n">
        <f aca="false">3400000-D7</f>
        <v>-4722638.88888889</v>
      </c>
      <c r="F7" s="93" t="n">
        <f aca="false">(3400000*(1-A7)-Assumptions!$B$13)/Assumptions!$B$10</f>
        <v>68.843537414966</v>
      </c>
    </row>
    <row r="8" customFormat="false" ht="15" hidden="false" customHeight="true" outlineLevel="0" collapsed="false">
      <c r="A8" s="89" t="n">
        <v>0.15</v>
      </c>
      <c r="B8" s="73" t="n">
        <f aca="false">('CY2027 MVP'!$C$30+Assumptions!$B$13)/(1-A8)</f>
        <v>3714852.94117647</v>
      </c>
      <c r="C8" s="73" t="n">
        <f aca="false">3400000-B8</f>
        <v>-314852.941176471</v>
      </c>
      <c r="D8" s="73" t="n">
        <f aca="false">($D$3*Assumptions!$B$10+Assumptions!$B$13)/(1-A8)</f>
        <v>8600441.17647059</v>
      </c>
      <c r="E8" s="73" t="n">
        <f aca="false">3400000-D8</f>
        <v>-5200441.17647059</v>
      </c>
      <c r="F8" s="90" t="n">
        <f aca="false">(3400000*(1-A8)-Assumptions!$B$13)/Assumptions!$B$10</f>
        <v>64.2176870748299</v>
      </c>
    </row>
    <row r="9" customFormat="false" ht="15" hidden="false" customHeight="true" outlineLevel="0" collapsed="false">
      <c r="A9" s="89" t="n">
        <v>0.2</v>
      </c>
      <c r="B9" s="73" t="n">
        <f aca="false">('CY2027 MVP'!$C$30+Assumptions!$B$13)/(1-A9)</f>
        <v>3947031.25</v>
      </c>
      <c r="C9" s="73" t="n">
        <f aca="false">3400000-B9</f>
        <v>-547031.25</v>
      </c>
      <c r="D9" s="73" t="n">
        <f aca="false">($D$3*Assumptions!$B$10+Assumptions!$B$13)/(1-A9)</f>
        <v>9137968.75</v>
      </c>
      <c r="E9" s="73" t="n">
        <f aca="false">3400000-D9</f>
        <v>-5737968.75</v>
      </c>
      <c r="F9" s="90" t="n">
        <f aca="false">(3400000*(1-A9)-Assumptions!$B$13)/Assumptions!$B$10</f>
        <v>59.5918367346939</v>
      </c>
    </row>
    <row r="10" customFormat="false" ht="15" hidden="false" customHeight="true" outlineLevel="0" collapsed="false">
      <c r="A10" s="89" t="n">
        <v>0.25</v>
      </c>
      <c r="B10" s="73" t="n">
        <f aca="false">('CY2027 MVP'!$C$30+Assumptions!$B$13)/(1-A10)</f>
        <v>4210166.66666667</v>
      </c>
      <c r="C10" s="73" t="n">
        <f aca="false">3400000-B10</f>
        <v>-810166.666666667</v>
      </c>
      <c r="D10" s="73" t="n">
        <f aca="false">($D$3*Assumptions!$B$10+Assumptions!$B$13)/(1-A10)</f>
        <v>9747166.66666667</v>
      </c>
      <c r="E10" s="73" t="n">
        <f aca="false">3400000-D10</f>
        <v>-6347166.66666667</v>
      </c>
      <c r="F10" s="90" t="n">
        <f aca="false">(3400000*(1-A10)-Assumptions!$B$13)/Assumptions!$B$10</f>
        <v>54.9659863945578</v>
      </c>
    </row>
    <row r="12" customFormat="false" ht="13.5" hidden="false" customHeight="true" outlineLevel="0" collapsed="false">
      <c r="A12" s="94" t="s">
        <v>490</v>
      </c>
      <c r="B12" s="94"/>
      <c r="C12" s="94"/>
      <c r="D12" s="94"/>
      <c r="E12" s="94"/>
      <c r="F12" s="94"/>
    </row>
    <row r="13" customFormat="false" ht="24" hidden="false" customHeight="true" outlineLevel="0" collapsed="false">
      <c r="A13" s="95" t="s">
        <v>491</v>
      </c>
      <c r="B13" s="95"/>
      <c r="C13" s="95"/>
      <c r="D13" s="95"/>
      <c r="E13" s="95"/>
      <c r="F13" s="95"/>
    </row>
    <row r="14" customFormat="false" ht="24" hidden="false" customHeight="true" outlineLevel="0" collapsed="false">
      <c r="A14" s="96" t="s">
        <v>492</v>
      </c>
      <c r="B14" s="96"/>
      <c r="C14" s="96"/>
      <c r="D14" s="96"/>
      <c r="E14" s="96"/>
      <c r="F14" s="96"/>
    </row>
    <row r="15" customFormat="false" ht="13.5" hidden="false" customHeight="true" outlineLevel="0" collapsed="false">
      <c r="A15" s="95"/>
      <c r="B15" s="95"/>
      <c r="C15" s="95"/>
      <c r="D15" s="95"/>
      <c r="E15" s="95"/>
      <c r="F15" s="95"/>
    </row>
    <row r="16" customFormat="false" ht="13.5" hidden="false" customHeight="true" outlineLevel="0" collapsed="false">
      <c r="A16" s="94" t="s">
        <v>493</v>
      </c>
      <c r="B16" s="94"/>
      <c r="C16" s="94"/>
      <c r="D16" s="94"/>
      <c r="E16" s="94"/>
      <c r="F16" s="94"/>
    </row>
    <row r="17" customFormat="false" ht="24" hidden="false" customHeight="true" outlineLevel="0" collapsed="false">
      <c r="A17" s="95" t="s">
        <v>494</v>
      </c>
      <c r="B17" s="95"/>
      <c r="C17" s="95"/>
      <c r="D17" s="95"/>
      <c r="E17" s="95"/>
      <c r="F17" s="95"/>
    </row>
    <row r="18" customFormat="false" ht="48" hidden="false" customHeight="true" outlineLevel="0" collapsed="false">
      <c r="A18" s="95" t="s">
        <v>495</v>
      </c>
      <c r="B18" s="95"/>
      <c r="C18" s="95"/>
      <c r="D18" s="95"/>
      <c r="E18" s="95"/>
      <c r="F18" s="95"/>
    </row>
  </sheetData>
  <mergeCells count="7">
    <mergeCell ref="A12:F12"/>
    <mergeCell ref="A13:F13"/>
    <mergeCell ref="A14:F14"/>
    <mergeCell ref="A15:F15"/>
    <mergeCell ref="A16:F16"/>
    <mergeCell ref="A17:F17"/>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26"/>
    <col collapsed="false" customWidth="true" hidden="false" outlineLevel="0" max="3" min="3" style="1" width="92"/>
  </cols>
  <sheetData>
    <row r="1" customFormat="false" ht="17.25" hidden="false" customHeight="true" outlineLevel="0" collapsed="false">
      <c r="A1" s="2" t="s">
        <v>496</v>
      </c>
    </row>
    <row r="2" customFormat="false" ht="15" hidden="false" customHeight="true" outlineLevel="0" collapsed="false">
      <c r="A2" s="3" t="s">
        <v>497</v>
      </c>
    </row>
    <row r="4" customFormat="false" ht="31.5" hidden="false" customHeight="true" outlineLevel="0" collapsed="false">
      <c r="A4" s="13" t="s">
        <v>498</v>
      </c>
      <c r="B4" s="13" t="s">
        <v>499</v>
      </c>
      <c r="C4" s="13" t="s">
        <v>500</v>
      </c>
    </row>
    <row r="5" customFormat="false" ht="48" hidden="false" customHeight="true" outlineLevel="0" collapsed="false">
      <c r="A5" s="14" t="s">
        <v>501</v>
      </c>
      <c r="B5" s="14" t="s">
        <v>502</v>
      </c>
      <c r="C5" s="14" t="s">
        <v>503</v>
      </c>
    </row>
    <row r="6" customFormat="false" ht="36" hidden="false" customHeight="true" outlineLevel="0" collapsed="false">
      <c r="A6" s="14" t="s">
        <v>504</v>
      </c>
      <c r="B6" s="14" t="s">
        <v>505</v>
      </c>
      <c r="C6" s="14" t="s">
        <v>506</v>
      </c>
    </row>
    <row r="7" customFormat="false" ht="36" hidden="false" customHeight="true" outlineLevel="0" collapsed="false">
      <c r="A7" s="14" t="s">
        <v>507</v>
      </c>
      <c r="B7" s="14" t="s">
        <v>508</v>
      </c>
      <c r="C7" s="14" t="s">
        <v>509</v>
      </c>
    </row>
    <row r="8" customFormat="false" ht="30" hidden="false" customHeight="true" outlineLevel="0" collapsed="false">
      <c r="A8" s="14" t="s">
        <v>510</v>
      </c>
      <c r="B8" s="14" t="s">
        <v>511</v>
      </c>
      <c r="C8" s="14" t="s">
        <v>512</v>
      </c>
    </row>
    <row r="9" customFormat="false" ht="48" hidden="false" customHeight="true" outlineLevel="0" collapsed="false">
      <c r="A9" s="14" t="s">
        <v>513</v>
      </c>
      <c r="B9" s="14" t="s">
        <v>514</v>
      </c>
      <c r="C9" s="14" t="s">
        <v>515</v>
      </c>
    </row>
    <row r="10" customFormat="false" ht="36" hidden="false" customHeight="true" outlineLevel="0" collapsed="false">
      <c r="A10" s="14" t="s">
        <v>516</v>
      </c>
      <c r="B10" s="14" t="s">
        <v>517</v>
      </c>
      <c r="C10" s="14" t="s">
        <v>518</v>
      </c>
    </row>
    <row r="11" customFormat="false" ht="48" hidden="false" customHeight="true" outlineLevel="0" collapsed="false">
      <c r="A11" s="14" t="s">
        <v>519</v>
      </c>
      <c r="B11" s="14" t="s">
        <v>520</v>
      </c>
      <c r="C11" s="14" t="s">
        <v>521</v>
      </c>
    </row>
    <row r="12" customFormat="false" ht="30" hidden="false" customHeight="true" outlineLevel="0" collapsed="false">
      <c r="A12" s="14" t="s">
        <v>522</v>
      </c>
      <c r="B12" s="14" t="s">
        <v>523</v>
      </c>
      <c r="C12" s="14" t="s">
        <v>524</v>
      </c>
    </row>
    <row r="13" customFormat="false" ht="36" hidden="false" customHeight="true" outlineLevel="0" collapsed="false">
      <c r="A13" s="14" t="s">
        <v>525</v>
      </c>
      <c r="B13" s="14" t="s">
        <v>526</v>
      </c>
      <c r="C13" s="14" t="s">
        <v>527</v>
      </c>
    </row>
    <row r="14" customFormat="false" ht="36" hidden="false" customHeight="true" outlineLevel="0" collapsed="false">
      <c r="A14" s="14" t="s">
        <v>528</v>
      </c>
      <c r="B14" s="14" t="s">
        <v>529</v>
      </c>
      <c r="C14" s="14" t="s">
        <v>530</v>
      </c>
    </row>
    <row r="15" customFormat="false" ht="30" hidden="false" customHeight="true" outlineLevel="0" collapsed="false">
      <c r="A15" s="14" t="s">
        <v>531</v>
      </c>
      <c r="B15" s="14" t="s">
        <v>532</v>
      </c>
      <c r="C15" s="14" t="s">
        <v>533</v>
      </c>
    </row>
    <row r="16" customFormat="false" ht="60" hidden="false" customHeight="true" outlineLevel="0" collapsed="false">
      <c r="A16" s="14" t="s">
        <v>534</v>
      </c>
      <c r="B16" s="14" t="s">
        <v>535</v>
      </c>
      <c r="C16" s="14" t="s">
        <v>536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2026-09-17T03:02:19Z</dcterms:created>
  <dc:creator>openpyxl</dc:creator>
  <dc:description/>
  <dc:language>en-US</dc:language>
  <cp:lastModifiedBy/>
  <dcterms:modified xsi:type="dcterms:W3CDTF">2026-09-17T03:27:35Z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